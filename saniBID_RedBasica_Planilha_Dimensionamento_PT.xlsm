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EEA01C10-E938-45CA-A479-2305BB6738F0}" xr6:coauthVersionLast="34" xr6:coauthVersionMax="34" xr10:uidLastSave="{00000000-0000-0000-0000-000000000000}"/>
  <bookViews>
    <workbookView xWindow="1005" yWindow="255" windowWidth="18075" windowHeight="1209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#REF!</definedName>
    <definedName name="nDN_10">#REF!</definedName>
    <definedName name="nDN_11">#REF!</definedName>
    <definedName name="nDN_12">#REF!</definedName>
    <definedName name="nDN_13">#REF!</definedName>
    <definedName name="nDN_14">#REF!</definedName>
    <definedName name="nDN_2">#REF!</definedName>
    <definedName name="nDN_3">#REF!</definedName>
    <definedName name="nDN_4">#REF!</definedName>
    <definedName name="nDN_5">#REF!</definedName>
    <definedName name="nDN_6">#REF!</definedName>
    <definedName name="nDN_7">#REF!</definedName>
    <definedName name="nDN_8">#REF!</definedName>
    <definedName name="nDN_9">#REF!</definedName>
    <definedName name="Plista">#REF!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Teste">#REF!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37" i="21"/>
  <c r="F36" i="21"/>
  <c r="F25" i="21"/>
  <c r="F24" i="21"/>
  <c r="F22" i="31"/>
  <c r="F21" i="31"/>
  <c r="F18" i="31"/>
  <c r="F17" i="31"/>
  <c r="F10" i="31"/>
  <c r="F9" i="31"/>
  <c r="F11" i="1" l="1"/>
  <c r="L11" i="1"/>
  <c r="K11" i="1"/>
  <c r="A11" i="1"/>
  <c r="F15" i="31" l="1"/>
  <c r="F30" i="21"/>
  <c r="F16" i="31"/>
  <c r="F31" i="2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E18" i="14"/>
  <c r="F18" i="14"/>
  <c r="G18" i="14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AJ50" i="24" l="1"/>
  <c r="AJ15" i="24"/>
  <c r="AG15" i="24" s="1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P15" i="24"/>
  <c r="AV15" i="24"/>
  <c r="AM15" i="24"/>
  <c r="AU15" i="24"/>
  <c r="AI15" i="24"/>
  <c r="AR15" i="24"/>
  <c r="AN15" i="24"/>
  <c r="AT15" i="24"/>
  <c r="AQ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Y30" i="24" l="1"/>
  <c r="Z30" i="24" l="1"/>
  <c r="C40" i="24" l="1"/>
  <c r="F40" i="24" s="1"/>
  <c r="I40" i="24"/>
  <c r="L40" i="24" s="1"/>
  <c r="AF50" i="24" l="1"/>
  <c r="AG50" i="24" s="1"/>
  <c r="S30" i="24" l="1"/>
  <c r="AI30" i="24" l="1"/>
  <c r="U30" i="24"/>
  <c r="O30" i="24"/>
  <c r="Q30" i="24" l="1"/>
  <c r="T30" i="24"/>
  <c r="P30" i="24" l="1"/>
  <c r="V30" i="24"/>
  <c r="R30" i="24" l="1"/>
  <c r="AJ30" i="24"/>
  <c r="AH30" i="24" l="1"/>
  <c r="AC30" i="24"/>
  <c r="AE30" i="24"/>
  <c r="AD30" i="24"/>
  <c r="AB30" i="24"/>
  <c r="AG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A7232670-0BF5-48BF-9C04-E814E2E7AEDE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8CB19113-11D2-44A9-9E5E-CD5228118F01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8000000}" name="Falso" type="6" refreshedVersion="0" background="1">
    <textPr prompt="0" sourceFile="Falso">
      <textFields>
        <textField/>
      </textFields>
    </textPr>
  </connection>
  <connection id="48" xr16:uid="{00000000-0015-0000-FFFF-FFFF29000000}" name="Falso1" type="6" refreshedVersion="0" background="1">
    <textPr prompt="0" sourceFile="Falso">
      <textFields>
        <textField/>
      </textFields>
    </textPr>
  </connection>
  <connection id="49" xr16:uid="{00000000-0015-0000-FFFF-FFFF2A000000}" name="Falso10" type="6" refreshedVersion="0" background="1">
    <textPr prompt="0" sourceFile="Falso">
      <textFields>
        <textField/>
      </textFields>
    </textPr>
  </connection>
  <connection id="50" xr16:uid="{00000000-0015-0000-FFFF-FFFF2B000000}" name="Falso11" type="6" refreshedVersion="0" background="1">
    <textPr prompt="0" sourceFile="Falso">
      <textFields>
        <textField/>
      </textFields>
    </textPr>
  </connection>
  <connection id="51" xr16:uid="{00000000-0015-0000-FFFF-FFFF2C000000}" name="Falso12" type="6" refreshedVersion="0" background="1">
    <textPr prompt="0" sourceFile="Falso">
      <textFields>
        <textField/>
      </textFields>
    </textPr>
  </connection>
  <connection id="52" xr16:uid="{00000000-0015-0000-FFFF-FFFF2D000000}" name="Falso13" type="6" refreshedVersion="0" background="1">
    <textPr prompt="0" sourceFile="Falso">
      <textFields>
        <textField/>
      </textFields>
    </textPr>
  </connection>
  <connection id="53" xr16:uid="{00000000-0015-0000-FFFF-FFFF2E000000}" name="Falso14" type="6" refreshedVersion="0" background="1">
    <textPr prompt="0" sourceFile="Falso">
      <textFields>
        <textField/>
      </textFields>
    </textPr>
  </connection>
  <connection id="54" xr16:uid="{00000000-0015-0000-FFFF-FFFF2F000000}" name="Falso15" type="6" refreshedVersion="0" background="1">
    <textPr prompt="0" sourceFile="Falso">
      <textFields>
        <textField/>
      </textFields>
    </textPr>
  </connection>
  <connection id="55" xr16:uid="{00000000-0015-0000-FFFF-FFFF30000000}" name="Falso2" type="6" refreshedVersion="0" background="1">
    <textPr prompt="0" sourceFile="Falso">
      <textFields>
        <textField/>
      </textFields>
    </textPr>
  </connection>
  <connection id="56" xr16:uid="{00000000-0015-0000-FFFF-FFFF31000000}" name="Falso3" type="6" refreshedVersion="0" background="1">
    <textPr prompt="0" sourceFile="Falso">
      <textFields>
        <textField/>
      </textFields>
    </textPr>
  </connection>
  <connection id="57" xr16:uid="{00000000-0015-0000-FFFF-FFFF32000000}" name="Falso4" type="6" refreshedVersion="0" background="1">
    <textPr prompt="0" sourceFile="Falso">
      <textFields>
        <textField/>
      </textFields>
    </textPr>
  </connection>
  <connection id="58" xr16:uid="{00000000-0015-0000-FFFF-FFFF33000000}" name="Falso5" type="6" refreshedVersion="0" background="1">
    <textPr prompt="0" sourceFile="Falso">
      <textFields>
        <textField/>
      </textFields>
    </textPr>
  </connection>
  <connection id="59" xr16:uid="{00000000-0015-0000-FFFF-FFFF34000000}" name="Falso6" type="6" refreshedVersion="0" background="1">
    <textPr prompt="0" sourceFile="Falso">
      <textFields>
        <textField/>
      </textFields>
    </textPr>
  </connection>
  <connection id="60" xr16:uid="{00000000-0015-0000-FFFF-FFFF35000000}" name="Falso7" type="6" refreshedVersion="0" background="1">
    <textPr prompt="0" sourceFile="Falso">
      <textFields>
        <textField/>
      </textFields>
    </textPr>
  </connection>
  <connection id="61" xr16:uid="{00000000-0015-0000-FFFF-FFFF36000000}" name="Falso8" type="6" refreshedVersion="0" background="1">
    <textPr prompt="0" sourceFile="Falso">
      <textFields>
        <textField/>
      </textFields>
    </textPr>
  </connection>
  <connection id="62" xr16:uid="{00000000-0015-0000-FFFF-FFFF37000000}" name="Falso9" type="6" refreshedVersion="0" background="1">
    <textPr prompt="0" sourceFile="Falso">
      <textFields>
        <textField/>
      </textFields>
    </textPr>
  </connection>
  <connection id="63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<sst xmlns="http://schemas.openxmlformats.org/spreadsheetml/2006/main" count="2865" uniqueCount="1088">
  <si>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</si>
  <si>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</si>
  <si>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</si>
  <si>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</si>
  <si>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</si>
  <si>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</si>
  <si>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</si>
  <si>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</si>
  <si>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</si>
  <si>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</si>
  <si>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</si>
  <si>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</si>
  <si>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</si>
  <si>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</si>
  <si>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</si>
  <si>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</si>
  <si>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</si>
  <si>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</si>
  <si>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</si>
  <si>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</si>
  <si>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</si>
  <si>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</si>
  <si>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</si>
  <si>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</si>
  <si>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</si>
  <si>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</si>
  <si>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</si>
  <si>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</si>
  <si>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</si>
  <si>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</si>
  <si>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</si>
  <si>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</si>
  <si>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</si>
  <si>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</si>
  <si>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</si>
  <si>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</si>
  <si>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</si>
  <si>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</si>
  <si>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</si>
  <si>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</si>
  <si>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</si>
  <si>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</si>
  <si>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</si>
  <si>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</si>
  <si>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</si>
  <si>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</si>
  <si>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</si>
  <si>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</si>
  <si>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</si>
  <si>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</si>
  <si>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</si>
  <si>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</si>
  <si>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</si>
  <si>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</si>
  <si>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</si>
  <si>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</si>
  <si>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</si>
  <si>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</si>
  <si>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</si>
  <si>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</si>
  <si>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</si>
  <si>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</si>
  <si>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</si>
  <si>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</si>
  <si>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</si>
  <si>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</si>
  <si>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</si>
  <si>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</si>
  <si>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</si>
  <si>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</si>
  <si>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</si>
  <si>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</si>
  <si>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</si>
  <si>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</si>
  <si>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</si>
  <si>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</si>
  <si>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</si>
  <si>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</si>
  <si>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</si>
  <si>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</si>
  <si>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</si>
  <si>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</si>
  <si>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</si>
  <si>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</si>
  <si>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</si>
  <si>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</si>
  <si>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</si>
  <si>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</si>
  <si>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</si>
  <si>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</si>
  <si>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</si>
  <si>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</si>
  <si>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</si>
  <si>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</si>
  <si>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</si>
  <si>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</si>
  <si>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</si>
  <si>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</si>
  <si>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</si>
  <si>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</si>
  <si>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</si>
  <si>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</si>
  <si>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</si>
  <si>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</si>
  <si>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</si>
  <si>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</si>
  <si>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</si>
  <si>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</si>
  <si>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</si>
  <si>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</si>
  <si>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</si>
  <si>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</si>
  <si>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</si>
  <si>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</si>
  <si>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</si>
  <si>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</si>
  <si>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</si>
  <si>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</si>
  <si>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</si>
  <si>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</si>
  <si>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</si>
  <si>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</si>
  <si>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</si>
  <si>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</si>
  <si>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</si>
  <si>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</si>
  <si>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</si>
  <si>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</si>
  <si>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</si>
  <si>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</si>
  <si>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</si>
  <si>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</si>
  <si>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</si>
  <si>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</si>
  <si>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</si>
  <si>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</si>
  <si>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</si>
  <si>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</si>
  <si>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</si>
  <si>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</si>
  <si>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</si>
  <si>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</si>
  <si>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</si>
  <si>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</si>
  <si>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</si>
  <si>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</si>
  <si>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</si>
  <si>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</si>
  <si>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</si>
  <si>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</si>
  <si>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</si>
  <si>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</si>
  <si>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</si>
  <si>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</si>
  <si>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</si>
  <si>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</si>
  <si>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</si>
  <si>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</si>
  <si>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</si>
  <si>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</si>
  <si>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</si>
  <si>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</si>
  <si>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</si>
  <si>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</si>
  <si>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</si>
  <si>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</si>
  <si>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</si>
  <si>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</si>
  <si>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</si>
  <si>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</si>
  <si>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</si>
  <si>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</si>
  <si>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</si>
  <si>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=CORRESP(250;DN_lista;0)</t>
  </si>
  <si>
    <t>Q05C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</si>
  <si>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</si>
  <si>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</si>
  <si>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</si>
  <si>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</si>
  <si>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</si>
  <si>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</si>
  <si>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</si>
  <si>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</si>
  <si>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</si>
  <si>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</si>
  <si>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</si>
  <si>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</si>
  <si>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</si>
  <si>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</si>
  <si>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</si>
  <si>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</si>
  <si>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</si>
  <si>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</si>
  <si>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</si>
  <si>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</si>
  <si>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</si>
  <si>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</si>
  <si>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</si>
  <si>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</si>
  <si>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</si>
  <si>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</si>
  <si>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Sistema de Esgoto - Rede Básica Condominial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</si>
  <si>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</si>
  <si>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</si>
  <si>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</si>
  <si>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</si>
  <si>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</si>
  <si>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</si>
  <si>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</si>
  <si>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</si>
  <si>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</si>
  <si>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</si>
  <si>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</si>
  <si>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</si>
  <si>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</si>
  <si>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</si>
  <si>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</si>
  <si>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</si>
  <si>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</si>
  <si>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</si>
  <si>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</si>
  <si>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</si>
  <si>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</si>
  <si>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</si>
  <si>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</si>
  <si>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</si>
  <si>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</si>
  <si>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</si>
  <si>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</si>
  <si>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</si>
  <si>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</si>
  <si>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</si>
  <si>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</si>
  <si>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</si>
  <si>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</si>
  <si>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</si>
  <si>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</si>
  <si>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</si>
  <si>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</si>
  <si>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</si>
  <si>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</si>
  <si>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</si>
  <si>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</si>
  <si>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</si>
  <si>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</si>
  <si>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</si>
  <si>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</si>
  <si>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</si>
  <si>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</si>
  <si>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</si>
  <si>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</si>
  <si>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</si>
  <si>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</si>
  <si>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</si>
  <si>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</si>
  <si>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</si>
  <si>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</si>
  <si>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</si>
  <si>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</si>
  <si>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</si>
  <si>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</si>
  <si>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</si>
  <si>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</si>
  <si>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</si>
  <si>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</si>
  <si>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</si>
  <si>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</si>
  <si>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</si>
  <si>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</si>
  <si>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</si>
  <si>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</si>
  <si>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</si>
  <si>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</si>
  <si>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</si>
  <si>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</si>
  <si>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</si>
  <si>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</si>
  <si>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</si>
  <si>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</si>
  <si>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</si>
  <si>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</si>
  <si>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</si>
  <si>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</si>
  <si>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</si>
  <si>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</si>
  <si>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</si>
  <si>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</si>
  <si>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</si>
  <si>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</si>
  <si>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</si>
  <si>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</si>
  <si>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</si>
  <si>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</si>
  <si>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</si>
  <si>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</si>
  <si>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</si>
  <si>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</si>
  <si>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</si>
  <si>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</si>
  <si>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</si>
  <si>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</si>
  <si>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</si>
  <si>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</si>
  <si>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</si>
  <si>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</si>
  <si>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</si>
  <si>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</si>
  <si>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</si>
  <si>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</si>
  <si>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</si>
  <si>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</si>
  <si>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</si>
  <si>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</si>
  <si>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</si>
  <si>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</si>
  <si>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</si>
  <si>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</si>
  <si>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</si>
  <si>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</si>
  <si>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</si>
  <si>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</si>
  <si>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</si>
  <si>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</si>
  <si>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</si>
  <si>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</si>
  <si>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</si>
  <si>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</si>
  <si>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</si>
  <si>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</si>
  <si>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</si>
  <si>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</si>
  <si>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</si>
  <si>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</si>
  <si>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QEF</t>
  </si>
  <si>
    <t>QEI</t>
  </si>
  <si>
    <t>CN_1</t>
  </si>
  <si>
    <t>CN_1-001</t>
  </si>
  <si>
    <t>UM1</t>
  </si>
  <si>
    <t>CN_1-002</t>
  </si>
  <si>
    <t>792816.868551, 2187814.049643</t>
  </si>
  <si>
    <t>CN_1-003</t>
  </si>
  <si>
    <t>792879.741296, 2187793.092062</t>
  </si>
  <si>
    <t>CN_1-004</t>
  </si>
  <si>
    <t>792934.453834, 2187774.904735</t>
  </si>
  <si>
    <t>CN_18-002</t>
  </si>
  <si>
    <t>CN_1-005</t>
  </si>
  <si>
    <t>792977.874570, 2187760.270562</t>
  </si>
  <si>
    <t>CN_1-006</t>
  </si>
  <si>
    <t>793023.372998, 2187744.702933</t>
  </si>
  <si>
    <t>CN_3-005</t>
  </si>
  <si>
    <t>CN_1-007</t>
  </si>
  <si>
    <t>793070.286666, 2187728.864301</t>
  </si>
  <si>
    <t>CN_1-008</t>
  </si>
  <si>
    <t>793115.621502, 2187713.571589</t>
  </si>
  <si>
    <t>CN_1-009</t>
  </si>
  <si>
    <t>793163.029987, 2187696.765476</t>
  </si>
  <si>
    <t>CN_1-010</t>
  </si>
  <si>
    <t>793168.209159, 2187694.356558</t>
  </si>
  <si>
    <t>CN_1-011</t>
  </si>
  <si>
    <t>793214.497903, 2187678.529541</t>
  </si>
  <si>
    <t>CN_1-012</t>
  </si>
  <si>
    <t>793258.001557, 2187663.161077</t>
  </si>
  <si>
    <t>CN_1-013</t>
  </si>
  <si>
    <t>793303.650542, 2187646.720216</t>
  </si>
  <si>
    <t>CN_1-014</t>
  </si>
  <si>
    <t>793343.488014, 2187631.453702</t>
  </si>
  <si>
    <t>CN_1-015</t>
  </si>
  <si>
    <t>793348.938190, 2187634.886409</t>
  </si>
  <si>
    <t>CN_1-016</t>
  </si>
  <si>
    <t>793392.027701, 2187619.228446</t>
  </si>
  <si>
    <t>CN_1-017</t>
  </si>
  <si>
    <t>793436.954011, 2187604.142600</t>
  </si>
  <si>
    <t>CN_1-018</t>
  </si>
  <si>
    <t>793482.738498, 2187586.572559</t>
  </si>
  <si>
    <t>CN_1-019</t>
  </si>
  <si>
    <t>793529.817778, 2187568.580957</t>
  </si>
  <si>
    <t>CN_1-020</t>
  </si>
  <si>
    <t>793578.523078, 2187550.589354</t>
  </si>
  <si>
    <t>CN_1-021</t>
  </si>
  <si>
    <t>793610.862794, 2187538.604990</t>
  </si>
  <si>
    <t>CN_17-005</t>
  </si>
  <si>
    <t>CN_1-022</t>
  </si>
  <si>
    <t>793662.714742, 2187518.912090</t>
  </si>
  <si>
    <t>CN_4-005</t>
  </si>
  <si>
    <t>CN_1-023</t>
  </si>
  <si>
    <t>793688.836441, 2187557.951608</t>
  </si>
  <si>
    <t>CN_5-009</t>
  </si>
  <si>
    <t>CN_1-024</t>
  </si>
  <si>
    <t>793718.134899, 2187599.294654</t>
  </si>
  <si>
    <t>CN_6-010</t>
  </si>
  <si>
    <t>CN_7-009</t>
  </si>
  <si>
    <t>CN_1-025</t>
  </si>
  <si>
    <t>793752.552307, 2187649.099022</t>
  </si>
  <si>
    <t>CN_1-026</t>
  </si>
  <si>
    <t>793786.578266, 2187637.084546</t>
  </si>
  <si>
    <t>CN_1-027</t>
  </si>
  <si>
    <t>793814.792711, 2187621.547029</t>
  </si>
  <si>
    <t>CN_14-003</t>
  </si>
  <si>
    <t>CN_16-012</t>
  </si>
  <si>
    <t>793839.604561, 2187610.797235</t>
  </si>
  <si>
    <t>CN_1-027-FINAL</t>
  </si>
  <si>
    <t>CN_10</t>
  </si>
  <si>
    <t>CN_10-001</t>
  </si>
  <si>
    <t>IM6</t>
  </si>
  <si>
    <t>CN_9-002</t>
  </si>
  <si>
    <t>793661.254336, 2187955.106815</t>
  </si>
  <si>
    <t>CN_11</t>
  </si>
  <si>
    <t>CN_11-001</t>
  </si>
  <si>
    <t>CN_8-004</t>
  </si>
  <si>
    <t>793700.549802, 2187890.818831</t>
  </si>
  <si>
    <t>CN_12</t>
  </si>
  <si>
    <t>CN_12-001</t>
  </si>
  <si>
    <t>CN_12-002</t>
  </si>
  <si>
    <t>793786.824057, 2187847.148507</t>
  </si>
  <si>
    <t>CN_12-003</t>
  </si>
  <si>
    <t>793785.998442, 2187834.137271</t>
  </si>
  <si>
    <t>CN_16-007</t>
  </si>
  <si>
    <t>793839.102097, 2187824.359770</t>
  </si>
  <si>
    <t>CN_13</t>
  </si>
  <si>
    <t>CN_13-001</t>
  </si>
  <si>
    <t>CN_7-005</t>
  </si>
  <si>
    <t>793868.240567, 2187915.690904</t>
  </si>
  <si>
    <t>CN_14</t>
  </si>
  <si>
    <t>CN_14-001</t>
  </si>
  <si>
    <t>CN_14-002</t>
  </si>
  <si>
    <t>793702.595990, 2187392.654883</t>
  </si>
  <si>
    <t>793753.711495, 2187478.415341</t>
  </si>
  <si>
    <t>793807.382774, 2187562.755923</t>
  </si>
  <si>
    <t>CN_16</t>
  </si>
  <si>
    <t>CN_16-001</t>
  </si>
  <si>
    <t>CN_16-002</t>
  </si>
  <si>
    <t>793947.132613, 2188120.027325</t>
  </si>
  <si>
    <t>UM3</t>
  </si>
  <si>
    <t>CN_16-003</t>
  </si>
  <si>
    <t>793992.420261, 2188105.332929</t>
  </si>
  <si>
    <t>CN_16-004</t>
  </si>
  <si>
    <t>793964.476818, 2188061.249740</t>
  </si>
  <si>
    <t>CN_16-005</t>
  </si>
  <si>
    <t>793928.583948, 2187972.481132</t>
  </si>
  <si>
    <t>CN_16-006</t>
  </si>
  <si>
    <t>793909.673947, 2187924.061892</t>
  </si>
  <si>
    <t>793887.150569, 2187864.802523</t>
  </si>
  <si>
    <t>CN_16-008</t>
  </si>
  <si>
    <t>793877.654115, 2187818.045417</t>
  </si>
  <si>
    <t>CN_16-009</t>
  </si>
  <si>
    <t>793880.642222, 2187765.481158</t>
  </si>
  <si>
    <t>CN_16-010</t>
  </si>
  <si>
    <t>793879.919785, 2187719.967630</t>
  </si>
  <si>
    <t>DEWATS</t>
  </si>
  <si>
    <t>CN_16-011</t>
  </si>
  <si>
    <t>793879.197348, 2187710.937168</t>
  </si>
  <si>
    <t>793877.752474, 2187691.792588</t>
  </si>
  <si>
    <t>793856.801802, 2187636.887379</t>
  </si>
  <si>
    <t>CN_17</t>
  </si>
  <si>
    <t>CN_17-001</t>
  </si>
  <si>
    <t>CN_17-002</t>
  </si>
  <si>
    <t>793448.667372, 2187494.431467</t>
  </si>
  <si>
    <t>CN_17-003</t>
  </si>
  <si>
    <t>793493.774351, 2187477.569045</t>
  </si>
  <si>
    <t>CN_17-004</t>
  </si>
  <si>
    <t>793549.179452, 2187455.708119</t>
  </si>
  <si>
    <t>793606.210572, 2187438.183244</t>
  </si>
  <si>
    <t>793634.696021, 2187478.412166</t>
  </si>
  <si>
    <t>CN_18</t>
  </si>
  <si>
    <t>CN_18-001</t>
  </si>
  <si>
    <t>792917.411005, 2187725.845016</t>
  </si>
  <si>
    <t>792962.190034, 2187713.928344</t>
  </si>
  <si>
    <t>CN_3</t>
  </si>
  <si>
    <t>CN_3-001</t>
  </si>
  <si>
    <t>CN_3-002</t>
  </si>
  <si>
    <t>792903.228241, 2187680.595617</t>
  </si>
  <si>
    <t>CN_3-003</t>
  </si>
  <si>
    <t>792946.372883, 2187668.080862</t>
  </si>
  <si>
    <t>CN_3-004</t>
  </si>
  <si>
    <t>792991.839363, 2187653.368877</t>
  </si>
  <si>
    <t>793007.775258, 2187697.578485</t>
  </si>
  <si>
    <t>793052.859007, 2187682.088860</t>
  </si>
  <si>
    <t>CN_4</t>
  </si>
  <si>
    <t>CN_4-001</t>
  </si>
  <si>
    <t>CN_4-002</t>
  </si>
  <si>
    <t>793452.280748, 2187648.858130</t>
  </si>
  <si>
    <t>CN_4-003</t>
  </si>
  <si>
    <t>793498.592186, 2187630.008351</t>
  </si>
  <si>
    <t>CN_4-004</t>
  </si>
  <si>
    <t>793546.228528, 2187611.941470</t>
  </si>
  <si>
    <t>793597.538470, 2187592.308793</t>
  </si>
  <si>
    <t>793638.971850, 2187576.530384</t>
  </si>
  <si>
    <t>CN_5</t>
  </si>
  <si>
    <t>CN_5-001</t>
  </si>
  <si>
    <t>CN_5-002</t>
  </si>
  <si>
    <t>793294.255764, 2187766.232632</t>
  </si>
  <si>
    <t>CN_5-003</t>
  </si>
  <si>
    <t>793337.676501, 2187748.828204</t>
  </si>
  <si>
    <t>CN_5-004</t>
  </si>
  <si>
    <t>793383.747047, 2187730.941992</t>
  </si>
  <si>
    <t>CN_5-005</t>
  </si>
  <si>
    <t>793425.421319, 2187713.055780</t>
  </si>
  <si>
    <t>CN_5-006</t>
  </si>
  <si>
    <t>793469.203393, 2187695.049122</t>
  </si>
  <si>
    <t>CN_5-007</t>
  </si>
  <si>
    <t>793516.899958, 2187675.295999</t>
  </si>
  <si>
    <t>CN_5-008</t>
  </si>
  <si>
    <t>793565.499868, 2187657.229118</t>
  </si>
  <si>
    <t>793614.702006, 2187637.054435</t>
  </si>
  <si>
    <t>793667.637967, 2187619.228446</t>
  </si>
  <si>
    <t>CN_6</t>
  </si>
  <si>
    <t>CN_6-001</t>
  </si>
  <si>
    <t>CondForc</t>
  </si>
  <si>
    <t>CN_6-002</t>
  </si>
  <si>
    <t>793305.894276, 2187808.618336</t>
  </si>
  <si>
    <t>CN_6-003</t>
  </si>
  <si>
    <t>793313.905682, 2187806.451729</t>
  </si>
  <si>
    <t>CN_6-004</t>
  </si>
  <si>
    <t>793355.863828, 2187794.597635</t>
  </si>
  <si>
    <t>CN_6-005</t>
  </si>
  <si>
    <t>793399.284565, 2187777.494321</t>
  </si>
  <si>
    <t>CN_6-006</t>
  </si>
  <si>
    <t>793443.126862, 2187760.812568</t>
  </si>
  <si>
    <t>CN_6-007</t>
  </si>
  <si>
    <t>793487.671544, 2187743.749372</t>
  </si>
  <si>
    <t>CN_6-008</t>
  </si>
  <si>
    <t>793536.622970, 2187725.040144</t>
  </si>
  <si>
    <t>CN_6-009</t>
  </si>
  <si>
    <t>793586.367115, 2187706.913040</t>
  </si>
  <si>
    <t>793635.238028, 2187689.508612</t>
  </si>
  <si>
    <t>793697.990327, 2187665.058100</t>
  </si>
  <si>
    <t>CN_7</t>
  </si>
  <si>
    <t>CN_7-001</t>
  </si>
  <si>
    <t>CN_7-002</t>
  </si>
  <si>
    <t>793818.917982, 2188049.611657</t>
  </si>
  <si>
    <t>CN_7-003</t>
  </si>
  <si>
    <t>793811.510561, 2188007.154487</t>
  </si>
  <si>
    <t>CN_7-004</t>
  </si>
  <si>
    <t>793799.225082, 2187936.964656</t>
  </si>
  <si>
    <t>793791.411156, 2187881.017548</t>
  </si>
  <si>
    <t>793846.801201, 2187872.571281</t>
  </si>
  <si>
    <t>CN_7-008</t>
  </si>
  <si>
    <t>CN_8-008</t>
  </si>
  <si>
    <t>col_1</t>
  </si>
  <si>
    <t>793779.419718, 2187727.283448</t>
  </si>
  <si>
    <t>793764.909982, 2187673.103394</t>
  </si>
  <si>
    <t>CN_8</t>
  </si>
  <si>
    <t>CN_8-001</t>
  </si>
  <si>
    <t>UM2</t>
  </si>
  <si>
    <t>CN_8-002</t>
  </si>
  <si>
    <t>793767.839252, 2188056.801475</t>
  </si>
  <si>
    <t>CN_8-003</t>
  </si>
  <si>
    <t>793761.307827, 2188010.087583</t>
  </si>
  <si>
    <t>793750.700451, 2187942.911671</t>
  </si>
  <si>
    <t>CN_8-005</t>
  </si>
  <si>
    <t>793743.548978, 2187886.392445</t>
  </si>
  <si>
    <t>CN_8-006</t>
  </si>
  <si>
    <t>793738.873799, 2187848.931756</t>
  </si>
  <si>
    <t>CN_8-007</t>
  </si>
  <si>
    <t>793730.035103, 2187795.096209</t>
  </si>
  <si>
    <t>col_2</t>
  </si>
  <si>
    <t>793724.859663, 2187752.183182</t>
  </si>
  <si>
    <t>793779.848716, 2187749.595462</t>
  </si>
  <si>
    <t>CN_9</t>
  </si>
  <si>
    <t>CN_9-001</t>
  </si>
  <si>
    <t>793714.988250, 2188020.478812</t>
  </si>
  <si>
    <t>793704.509460, 2187948.873741</t>
  </si>
  <si>
    <t>CS_1</t>
  </si>
  <si>
    <t>CS_1-001</t>
  </si>
  <si>
    <t>CS_1-002</t>
  </si>
  <si>
    <t>793133.340079, 2187601.026063</t>
  </si>
  <si>
    <t>CS_1-003</t>
  </si>
  <si>
    <t>793182.301326, 2187582.055838</t>
  </si>
  <si>
    <t>CS_1-004</t>
  </si>
  <si>
    <t>793224.758496, 2187564.651410</t>
  </si>
  <si>
    <t>CS_1-005</t>
  </si>
  <si>
    <t>793270.046144, 2187548.692332</t>
  </si>
  <si>
    <t>CS_1-006</t>
  </si>
  <si>
    <t>793314.296432, 2187534.823945</t>
  </si>
  <si>
    <t>CS_2-004</t>
  </si>
  <si>
    <t>CS_1-007</t>
  </si>
  <si>
    <t>793299.194045, 2187493.648568</t>
  </si>
  <si>
    <t>CS_3-004</t>
  </si>
  <si>
    <t>CS_1-008</t>
  </si>
  <si>
    <t>793282.753184, 2187446.734901</t>
  </si>
  <si>
    <t>CS_4-004</t>
  </si>
  <si>
    <t>CS_1-009</t>
  </si>
  <si>
    <t>793267.817895, 2187405.421967</t>
  </si>
  <si>
    <t>CS_7-001</t>
  </si>
  <si>
    <t>CS_1-010</t>
  </si>
  <si>
    <t>793253.063276, 2187358.688969</t>
  </si>
  <si>
    <t>CS_5-004</t>
  </si>
  <si>
    <t>CS_1-011</t>
  </si>
  <si>
    <t>793238.730217, 2187314.906895</t>
  </si>
  <si>
    <t>CS_22-001</t>
  </si>
  <si>
    <t>CS_1-012</t>
  </si>
  <si>
    <t>793220.663337, 2187267.210329</t>
  </si>
  <si>
    <t>CS_1-013</t>
  </si>
  <si>
    <t>793206.450724, 2187220.477331</t>
  </si>
  <si>
    <t>CS_23-004</t>
  </si>
  <si>
    <t>CS_1-014</t>
  </si>
  <si>
    <t>793188.624735, 2187176.815703</t>
  </si>
  <si>
    <t>CS_1-015</t>
  </si>
  <si>
    <t>793175.255243, 2187135.924329</t>
  </si>
  <si>
    <t>CS_9-001</t>
  </si>
  <si>
    <t>CS_1-016</t>
  </si>
  <si>
    <t>793201.994226, 2187123.939965</t>
  </si>
  <si>
    <t>CS_10-001</t>
  </si>
  <si>
    <t>CS_1-017</t>
  </si>
  <si>
    <t>793247.040983, 2187107.619549</t>
  </si>
  <si>
    <t>CS_1-018</t>
  </si>
  <si>
    <t>793297.146465, 2187093.105822</t>
  </si>
  <si>
    <t>CS_1-019</t>
  </si>
  <si>
    <t>793336.351596, 2187079.314769</t>
  </si>
  <si>
    <t>CS_8-010</t>
  </si>
  <si>
    <t>CS_1-020</t>
  </si>
  <si>
    <t>793355.502490, 2187071.606233</t>
  </si>
  <si>
    <t>CS_21-008</t>
  </si>
  <si>
    <t>CS_1-021</t>
  </si>
  <si>
    <t>793439.633932, 2187035.894032</t>
  </si>
  <si>
    <t>CS_25-021</t>
  </si>
  <si>
    <t>CS_68-007</t>
  </si>
  <si>
    <t>793463.051392, 2187027.763765</t>
  </si>
  <si>
    <t>CS_1-021-FINAL</t>
  </si>
  <si>
    <t>CS_10</t>
  </si>
  <si>
    <t>793262.277385, 2187146.463343</t>
  </si>
  <si>
    <t>CS_11</t>
  </si>
  <si>
    <t>CS_11-001</t>
  </si>
  <si>
    <t>CS_11-002</t>
  </si>
  <si>
    <t>793237.977431, 2187210.359878</t>
  </si>
  <si>
    <t>CS_8-006</t>
  </si>
  <si>
    <t>793283.626416, 2187196.026819</t>
  </si>
  <si>
    <t>CS_12</t>
  </si>
  <si>
    <t>CS_12-001</t>
  </si>
  <si>
    <t>CS_12-002</t>
  </si>
  <si>
    <t>793256.646541, 2187257.092876</t>
  </si>
  <si>
    <t>CS_15-002</t>
  </si>
  <si>
    <t>CS_8-005</t>
  </si>
  <si>
    <t>793300.729730, 2187243.241601</t>
  </si>
  <si>
    <t>CS_13</t>
  </si>
  <si>
    <t>CS_13-001</t>
  </si>
  <si>
    <t>CS_13-002</t>
  </si>
  <si>
    <t>793352.280563, 2187371.697123</t>
  </si>
  <si>
    <t>CS_14-002</t>
  </si>
  <si>
    <t>CS_8-003</t>
  </si>
  <si>
    <t>793393.412828, 2187355.075593</t>
  </si>
  <si>
    <t>CS_14</t>
  </si>
  <si>
    <t>CS_14-001</t>
  </si>
  <si>
    <t>793428.793803, 2187445.108882</t>
  </si>
  <si>
    <t>793413.015394, 2187401.959149</t>
  </si>
  <si>
    <t>CS_15</t>
  </si>
  <si>
    <t>CS_15-001</t>
  </si>
  <si>
    <t>793273.569186, 2187300.152275</t>
  </si>
  <si>
    <t>793317.050146, 2187285.457879</t>
  </si>
  <si>
    <t>CS_16</t>
  </si>
  <si>
    <t>CS_16-001</t>
  </si>
  <si>
    <t>CS_16-002</t>
  </si>
  <si>
    <t>793456.496354, 2187385.789290</t>
  </si>
  <si>
    <t>CS_16-003</t>
  </si>
  <si>
    <t>793437.947689, 2187337.791610</t>
  </si>
  <si>
    <t>CS_16-004</t>
  </si>
  <si>
    <t>793423.193070, 2187302.380524</t>
  </si>
  <si>
    <t>CS_16-005</t>
  </si>
  <si>
    <t>793469.745400, 2187287.625905</t>
  </si>
  <si>
    <t>CS_19-003</t>
  </si>
  <si>
    <t>CS_16-006</t>
  </si>
  <si>
    <t>793500.037536, 2187276.002878</t>
  </si>
  <si>
    <t>CS_18-001</t>
  </si>
  <si>
    <t>CS_16-007</t>
  </si>
  <si>
    <t>793469.926068, 2187231.739020</t>
  </si>
  <si>
    <t>CS_17-002</t>
  </si>
  <si>
    <t>CS_8-009</t>
  </si>
  <si>
    <t>793440.838390, 2187193.256564</t>
  </si>
  <si>
    <t>CS_17</t>
  </si>
  <si>
    <t>CS_17-001</t>
  </si>
  <si>
    <t>793386.999086, 2187211.805228</t>
  </si>
  <si>
    <t>793414.280076, 2187202.410450</t>
  </si>
  <si>
    <t>CS_18</t>
  </si>
  <si>
    <t>793440.537276, 2187241.976919</t>
  </si>
  <si>
    <t>CS_19</t>
  </si>
  <si>
    <t>CS_19-001</t>
  </si>
  <si>
    <t>CS_19-002</t>
  </si>
  <si>
    <t>793502.928237, 2187370.793779</t>
  </si>
  <si>
    <t>793551.166809, 2187351.221325</t>
  </si>
  <si>
    <t>CS_20-001</t>
  </si>
  <si>
    <t>793522.440469, 2187304.970110</t>
  </si>
  <si>
    <t>CS_2</t>
  </si>
  <si>
    <t>CS_2-001</t>
  </si>
  <si>
    <t>CS_2-002</t>
  </si>
  <si>
    <t>793114.490301, 2187557.123543</t>
  </si>
  <si>
    <t>CS_2-003</t>
  </si>
  <si>
    <t>793165.679796, 2187539.899783</t>
  </si>
  <si>
    <t>793209.040310, 2187523.760036</t>
  </si>
  <si>
    <t>793254.207512, 2187507.138506</t>
  </si>
  <si>
    <t>CS_20</t>
  </si>
  <si>
    <t>793488.655401, 2187320.447405</t>
  </si>
  <si>
    <t>CS_21</t>
  </si>
  <si>
    <t>CS_21-001</t>
  </si>
  <si>
    <t>CS_21-002</t>
  </si>
  <si>
    <t>793616.087134, 2187339.357407</t>
  </si>
  <si>
    <t>CS_21-003</t>
  </si>
  <si>
    <t>793606.812802, 2187327.071928</t>
  </si>
  <si>
    <t>CS_21-004</t>
  </si>
  <si>
    <t>793578.688691, 2187279.616254</t>
  </si>
  <si>
    <t>CS_21-005</t>
  </si>
  <si>
    <t>793559.357128, 2187250.649022</t>
  </si>
  <si>
    <t>CS_21-006</t>
  </si>
  <si>
    <t>793530.691011, 2187210.118986</t>
  </si>
  <si>
    <t>CS_21-007</t>
  </si>
  <si>
    <t>793510.034544, 2187168.685606</t>
  </si>
  <si>
    <t>793489.016739, 2187122.374168</t>
  </si>
  <si>
    <t>793469.470819, 2187073.543563</t>
  </si>
  <si>
    <t>CS_22</t>
  </si>
  <si>
    <t>793177.965275, 2187283.771637</t>
  </si>
  <si>
    <t>CS_23</t>
  </si>
  <si>
    <t>CS_23-001</t>
  </si>
  <si>
    <t>CS_23-002</t>
  </si>
  <si>
    <t>793131.141942, 2187299.158597</t>
  </si>
  <si>
    <t>CS_24-002</t>
  </si>
  <si>
    <t>CS_23-003</t>
  </si>
  <si>
    <t>793115.754982, 2187257.092876</t>
  </si>
  <si>
    <t>CS_53-001</t>
  </si>
  <si>
    <t>793097.688101, 2187205.240928</t>
  </si>
  <si>
    <t>793145.173886, 2187189.251739</t>
  </si>
  <si>
    <t>CS_24</t>
  </si>
  <si>
    <t>CS_24-001</t>
  </si>
  <si>
    <t>793090.009677, 2187313.852993</t>
  </si>
  <si>
    <t>793072.424580, 2187270.853817</t>
  </si>
  <si>
    <t>CS_25</t>
  </si>
  <si>
    <t>CS_25-001</t>
  </si>
  <si>
    <t>UMS2</t>
  </si>
  <si>
    <t>CS_25-002</t>
  </si>
  <si>
    <t>792774.168463, 2186726.642510</t>
  </si>
  <si>
    <t>UMS1</t>
  </si>
  <si>
    <t>CS_25-003</t>
  </si>
  <si>
    <t>792835.931619, 2186746.831435</t>
  </si>
  <si>
    <t>CS_25-004</t>
  </si>
  <si>
    <t>792884.408574, 2186734.508350</t>
  </si>
  <si>
    <t>CS_25-005</t>
  </si>
  <si>
    <t>792905.125264, 2186781.482240</t>
  </si>
  <si>
    <t>CS_25-006</t>
  </si>
  <si>
    <t>792947.642657, 2186767.691187</t>
  </si>
  <si>
    <t>CS_60-002</t>
  </si>
  <si>
    <t>CS_25-007</t>
  </si>
  <si>
    <t>792992.508744, 2186750.648096</t>
  </si>
  <si>
    <t>CS_25-008</t>
  </si>
  <si>
    <t>793037.073716, 2186735.471917</t>
  </si>
  <si>
    <t>CS_25-009</t>
  </si>
  <si>
    <t>793061.975900, 2186807.107099</t>
  </si>
  <si>
    <t>CS_42-001</t>
  </si>
  <si>
    <t>CS_25-010</t>
  </si>
  <si>
    <t>793077.874755, 2186853.960543</t>
  </si>
  <si>
    <t>CS_25-011</t>
  </si>
  <si>
    <t>793141.409953, 2186832.039394</t>
  </si>
  <si>
    <t>UMS3,QCANAL</t>
  </si>
  <si>
    <t>CS_25-012</t>
  </si>
  <si>
    <t>793190.628938, 2186813.591297</t>
  </si>
  <si>
    <t>CS_25-013</t>
  </si>
  <si>
    <t>793203.525828, 2186831.023771</t>
  </si>
  <si>
    <t>CS_41-011</t>
  </si>
  <si>
    <t>CS_25-014</t>
  </si>
  <si>
    <t>793242.765154, 2186838.109501</t>
  </si>
  <si>
    <t>CS_25-015</t>
  </si>
  <si>
    <t>793289.618598, 2186830.232706</t>
  </si>
  <si>
    <t>CS_25-016</t>
  </si>
  <si>
    <t>793305.397007, 2186829.871369</t>
  </si>
  <si>
    <t>CS_25-017</t>
  </si>
  <si>
    <t>793320.814079, 2186832.641624</t>
  </si>
  <si>
    <t>IMSC1</t>
  </si>
  <si>
    <t>CS_25-018</t>
  </si>
  <si>
    <t>793342.373890, 2186845.770224</t>
  </si>
  <si>
    <t>CS_25-019</t>
  </si>
  <si>
    <t>793354.779815, 2186862.030416</t>
  </si>
  <si>
    <t>CS_34-012</t>
  </si>
  <si>
    <t>CS_25-020</t>
  </si>
  <si>
    <t>793382.482365, 2186905.150039</t>
  </si>
  <si>
    <t>793408.558897, 2186942.638816</t>
  </si>
  <si>
    <t>793442.434298, 2186994.761767</t>
  </si>
  <si>
    <t>CS_26</t>
  </si>
  <si>
    <t>CS_26-001</t>
  </si>
  <si>
    <t>CS_26-002</t>
  </si>
  <si>
    <t>792839.361818, 2187495.214365</t>
  </si>
  <si>
    <t>CS_27-001</t>
  </si>
  <si>
    <t>CS_26-003</t>
  </si>
  <si>
    <t>792883.445007, 2187480.399523</t>
  </si>
  <si>
    <t>CS_26-004</t>
  </si>
  <si>
    <t>792925.962400, 2187463.386543</t>
  </si>
  <si>
    <t>CS_28-002</t>
  </si>
  <si>
    <t>CS_26-005</t>
  </si>
  <si>
    <t>792909.521538, 2187423.850186</t>
  </si>
  <si>
    <t>CS_26-006</t>
  </si>
  <si>
    <t>792960.711034, 2187406.204865</t>
  </si>
  <si>
    <t>CS_26-007</t>
  </si>
  <si>
    <t>793004.493108, 2187391.329800</t>
  </si>
  <si>
    <t>CS_50-002</t>
  </si>
  <si>
    <t>CS_26-008</t>
  </si>
  <si>
    <t>793048.094514, 2187376.274066</t>
  </si>
  <si>
    <t>CS_26-009</t>
  </si>
  <si>
    <t>793035.050973, 2187337.334835</t>
  </si>
  <si>
    <t>CS_26-010</t>
  </si>
  <si>
    <t>793033.256758, 2187331.538139</t>
  </si>
  <si>
    <t>CS_26-011</t>
  </si>
  <si>
    <t>793020.421215, 2187289.305064</t>
  </si>
  <si>
    <t>CS_29-008</t>
  </si>
  <si>
    <t>CS_26-012</t>
  </si>
  <si>
    <t>793019.639176, 2187285.307322</t>
  </si>
  <si>
    <t>CS_26-013</t>
  </si>
  <si>
    <t>793005.101374, 2187247.210005</t>
  </si>
  <si>
    <t>CS_33-002</t>
  </si>
  <si>
    <t>CS_26-014</t>
  </si>
  <si>
    <t>793004.350194, 2187242.622231</t>
  </si>
  <si>
    <t>CS_26-015</t>
  </si>
  <si>
    <t>792989.919550, 2187201.526516</t>
  </si>
  <si>
    <t>CS_54-001</t>
  </si>
  <si>
    <t>CS_26-016</t>
  </si>
  <si>
    <t>792989.316928, 2187197.216222</t>
  </si>
  <si>
    <t>CS_26-017</t>
  </si>
  <si>
    <t>792973.081527, 2187153.772777</t>
  </si>
  <si>
    <t>CS_36-002</t>
  </si>
  <si>
    <t>CS_26-018</t>
  </si>
  <si>
    <t>792972.514729, 2187149.098096</t>
  </si>
  <si>
    <t>CS_37-002</t>
  </si>
  <si>
    <t>792959.417885, 2187107.537222</t>
  </si>
  <si>
    <t>CS_27</t>
  </si>
  <si>
    <t>792901.030104, 2187529.782330</t>
  </si>
  <si>
    <t>CS_28</t>
  </si>
  <si>
    <t>CS_28-001</t>
  </si>
  <si>
    <t>Ti Ginen 1,IMS1</t>
  </si>
  <si>
    <t>792823.764077, 2187450.167609</t>
  </si>
  <si>
    <t>792868.058047, 2187438.123022</t>
  </si>
  <si>
    <t>CS_29</t>
  </si>
  <si>
    <t>CS_29-001</t>
  </si>
  <si>
    <t>Ti Ginen 2,IMS2</t>
  </si>
  <si>
    <t>CS_29-002</t>
  </si>
  <si>
    <t>792796.362641, 2187367.210514</t>
  </si>
  <si>
    <t>CS_29-003</t>
  </si>
  <si>
    <t>792808.347006, 2187408.222334</t>
  </si>
  <si>
    <t>CS_29-004</t>
  </si>
  <si>
    <t>792852.430195, 2187396.177747</t>
  </si>
  <si>
    <t>CS_29-005</t>
  </si>
  <si>
    <t>792894.224912, 2187381.844688</t>
  </si>
  <si>
    <t>CS_45-001</t>
  </si>
  <si>
    <t>CS_29-006</t>
  </si>
  <si>
    <t>792880.614529, 2187335.111690</t>
  </si>
  <si>
    <t>CS_29-007</t>
  </si>
  <si>
    <t>792926.203291, 2187319.694618</t>
  </si>
  <si>
    <t>CS_30-001</t>
  </si>
  <si>
    <t>792928.732655, 2187316.382357</t>
  </si>
  <si>
    <t>CS_31-001</t>
  </si>
  <si>
    <t>792973.568630, 2187300.483501</t>
  </si>
  <si>
    <t>CS_3</t>
  </si>
  <si>
    <t>CS_3-001</t>
  </si>
  <si>
    <t>CS_3-002</t>
  </si>
  <si>
    <t>793099.675458, 2187512.558570</t>
  </si>
  <si>
    <t>CS_3-003</t>
  </si>
  <si>
    <t>793151.286514, 2187495.334811</t>
  </si>
  <si>
    <t>793194.526582, 2187479.556401</t>
  </si>
  <si>
    <t>793239.212001, 2187461.730412</t>
  </si>
  <si>
    <t>CS_30</t>
  </si>
  <si>
    <t>792944.782067, 2187363.235801</t>
  </si>
  <si>
    <t>CS_31</t>
  </si>
  <si>
    <t>792988.895368, 2187348.149955</t>
  </si>
  <si>
    <t>CS_33</t>
  </si>
  <si>
    <t>CS_33-001</t>
  </si>
  <si>
    <t>792916.146061, 2187273.744518</t>
  </si>
  <si>
    <t>792960.951925, 2187258.146777</t>
  </si>
  <si>
    <t>CS_34</t>
  </si>
  <si>
    <t>CS_34-001</t>
  </si>
  <si>
    <t>CS_34-002</t>
  </si>
  <si>
    <t>793042.554004, 2187178.547112</t>
  </si>
  <si>
    <t>CS_34-003</t>
  </si>
  <si>
    <t>793036.531710, 2187162.768703</t>
  </si>
  <si>
    <t>CS_34-004</t>
  </si>
  <si>
    <t>793024.186008, 2187131.693668</t>
  </si>
  <si>
    <t>CS_37-003</t>
  </si>
  <si>
    <t>CS_34-005</t>
  </si>
  <si>
    <t>793009.913172, 2187084.478886</t>
  </si>
  <si>
    <t>CS_34-006</t>
  </si>
  <si>
    <t>793050.623877, 2187069.543598</t>
  </si>
  <si>
    <t>CS_34-007</t>
  </si>
  <si>
    <t>793097.959105, 2187051.597163</t>
  </si>
  <si>
    <t>CS_51-004</t>
  </si>
  <si>
    <t>CS_34-008</t>
  </si>
  <si>
    <t>793140.235606, 2187037.866334</t>
  </si>
  <si>
    <t>CS_34-009</t>
  </si>
  <si>
    <t>793212.141791, 2187013.054484</t>
  </si>
  <si>
    <t>CS_34-010</t>
  </si>
  <si>
    <t>793257.188547, 2186997.998750</t>
  </si>
  <si>
    <t>CS_34-011</t>
  </si>
  <si>
    <t>793244.388597, 2186957.015949</t>
  </si>
  <si>
    <t>CS_35-003</t>
  </si>
  <si>
    <t>793274.291861, 2186946.267248</t>
  </si>
  <si>
    <t>793352.943015, 2186916.637564</t>
  </si>
  <si>
    <t>CS_35</t>
  </si>
  <si>
    <t>CS_35-001</t>
  </si>
  <si>
    <t>CS_35-002</t>
  </si>
  <si>
    <t>793275.737211, 2187043.286398</t>
  </si>
  <si>
    <t>793313.075432, 2187030.639581</t>
  </si>
  <si>
    <t>793295.731226, 2186982.943016</t>
  </si>
  <si>
    <t>CS_36</t>
  </si>
  <si>
    <t>CS_36-001</t>
  </si>
  <si>
    <t>792882.300771, 2187179.330010</t>
  </si>
  <si>
    <t>792929.033769, 2187165.117397</t>
  </si>
  <si>
    <t>CS_37</t>
  </si>
  <si>
    <t>CS_37-001</t>
  </si>
  <si>
    <t>792915.363163, 2187120.672870</t>
  </si>
  <si>
    <t>CS_40-006</t>
  </si>
  <si>
    <t>792958.603231, 2187102.485544</t>
  </si>
  <si>
    <t>792963.782403, 2187100.437964</t>
  </si>
  <si>
    <t>CS_38</t>
  </si>
  <si>
    <t>CS_38-001</t>
  </si>
  <si>
    <t>792899.223416, 2187075.565891</t>
  </si>
  <si>
    <t>CS_39</t>
  </si>
  <si>
    <t>CS_39-001</t>
  </si>
  <si>
    <t>CS_40-004</t>
  </si>
  <si>
    <t>792876.700038, 2187019.919899</t>
  </si>
  <si>
    <t>CS_4</t>
  </si>
  <si>
    <t>CS_4-001</t>
  </si>
  <si>
    <t>CS_4-002</t>
  </si>
  <si>
    <t>793082.993705, 2187460.887291</t>
  </si>
  <si>
    <t>CS_4-003</t>
  </si>
  <si>
    <t>793135.387659, 2187444.506653</t>
  </si>
  <si>
    <t>793178.145944, 2187433.425633</t>
  </si>
  <si>
    <t>793225.782286, 2187418.610790</t>
  </si>
  <si>
    <t>CS_40</t>
  </si>
  <si>
    <t>CS_40-001</t>
  </si>
  <si>
    <t>CS_40-002</t>
  </si>
  <si>
    <t>792864.053221, 2186972.223333</t>
  </si>
  <si>
    <t>CS_40-003</t>
  </si>
  <si>
    <t>792910.786220, 2186959.335625</t>
  </si>
  <si>
    <t>792922.964254, 2187001.091930</t>
  </si>
  <si>
    <t>CS_40-005</t>
  </si>
  <si>
    <t>792924.637495, 2187005.466394</t>
  </si>
  <si>
    <t>792942.838643, 2187056.712614</t>
  </si>
  <si>
    <t>792944.751956, 2187060.991941</t>
  </si>
  <si>
    <t>CS_41</t>
  </si>
  <si>
    <t>CS_41-001</t>
  </si>
  <si>
    <t>CS_41-002</t>
  </si>
  <si>
    <t>792948.365332, 2186905.315652</t>
  </si>
  <si>
    <t>CS_41-003</t>
  </si>
  <si>
    <t>792960.048581, 2186940.244954</t>
  </si>
  <si>
    <t>CS_41-004</t>
  </si>
  <si>
    <t>792963.842626, 2186940.666515</t>
  </si>
  <si>
    <t>CS_41-005</t>
  </si>
  <si>
    <t>792979.741481, 2186936.029349</t>
  </si>
  <si>
    <t>CS_41-006</t>
  </si>
  <si>
    <t>793003.107980, 2186926.393679</t>
  </si>
  <si>
    <t>CS_41-007</t>
  </si>
  <si>
    <t>793048.335405, 2186911.097053</t>
  </si>
  <si>
    <t>CS_41-008</t>
  </si>
  <si>
    <t>793093.020824, 2186896.824218</t>
  </si>
  <si>
    <t>CS_41-009</t>
  </si>
  <si>
    <t>793156.796913, 2186876.589311</t>
  </si>
  <si>
    <t>CS_41-010</t>
  </si>
  <si>
    <t>793202.205007, 2186860.148450</t>
  </si>
  <si>
    <t>793210.756664, 2186858.703099</t>
  </si>
  <si>
    <t>CS_43-005</t>
  </si>
  <si>
    <t>793216.748846, 2186859.335440</t>
  </si>
  <si>
    <t>CS_42</t>
  </si>
  <si>
    <t>793033.671120, 2186868.820552</t>
  </si>
  <si>
    <t>CS_43</t>
  </si>
  <si>
    <t>CS_43-001</t>
  </si>
  <si>
    <t>CS_43-002</t>
  </si>
  <si>
    <t>793108.046446, 2186939.010384</t>
  </si>
  <si>
    <t>CS_43-003</t>
  </si>
  <si>
    <t>793170.015847, 2186919.016369</t>
  </si>
  <si>
    <t>CS_43-004</t>
  </si>
  <si>
    <t>793220.241776, 2186900.949489</t>
  </si>
  <si>
    <t>793235.297510, 2186896.131654</t>
  </si>
  <si>
    <t>793239.994899, 2186894.324966</t>
  </si>
  <si>
    <t>CS_45</t>
  </si>
  <si>
    <t>792836.092365, 2187350.609518</t>
  </si>
  <si>
    <t>CS_5</t>
  </si>
  <si>
    <t>CS_5-001</t>
  </si>
  <si>
    <t>CS_5-002</t>
  </si>
  <si>
    <t>793118.826352, 2187403.675502</t>
  </si>
  <si>
    <t>CS_5-003</t>
  </si>
  <si>
    <t>793105.035300, 2187357.243619</t>
  </si>
  <si>
    <t>CS_6-001</t>
  </si>
  <si>
    <t>793146.408457, 2187342.428776</t>
  </si>
  <si>
    <t>793193.743684, 2187328.396832</t>
  </si>
  <si>
    <t>CS_50</t>
  </si>
  <si>
    <t>CS_50-001</t>
  </si>
  <si>
    <t>793061.688174, 2187419.454703</t>
  </si>
  <si>
    <t>793049.404698, 2187380.257993</t>
  </si>
  <si>
    <t>CS_51</t>
  </si>
  <si>
    <t>CS_51-001</t>
  </si>
  <si>
    <t>CS_51-002</t>
  </si>
  <si>
    <t>792996.844795, 2187043.286398</t>
  </si>
  <si>
    <t>CS_51-003</t>
  </si>
  <si>
    <t>793037.615723, 2187028.592001</t>
  </si>
  <si>
    <t>CS_52-003</t>
  </si>
  <si>
    <t>793083.686269, 2187012.452255</t>
  </si>
  <si>
    <t>793127.769458, 2186998.902094</t>
  </si>
  <si>
    <t>CS_52</t>
  </si>
  <si>
    <t>CS_52-001</t>
  </si>
  <si>
    <t>CS_52-002</t>
  </si>
  <si>
    <t>792973.478296, 2186988.363080</t>
  </si>
  <si>
    <t>793015.935466, 2186974.090244</t>
  </si>
  <si>
    <t>793061.464005, 2186957.047154</t>
  </si>
  <si>
    <t>CS_53</t>
  </si>
  <si>
    <t>793055.953607, 2187220.326774</t>
  </si>
  <si>
    <t>CS_54</t>
  </si>
  <si>
    <t>792946.799535, 2187214.921765</t>
  </si>
  <si>
    <t>CS_6</t>
  </si>
  <si>
    <t>793161.223299, 2187390.426456</t>
  </si>
  <si>
    <t>CS_60</t>
  </si>
  <si>
    <t>CS_60-001</t>
  </si>
  <si>
    <t>792928.026098, 2186721.939015</t>
  </si>
  <si>
    <t>792972.846515, 2186703.418181</t>
  </si>
  <si>
    <t>CS_68</t>
  </si>
  <si>
    <t>CS_68-001</t>
  </si>
  <si>
    <t>NCM</t>
  </si>
  <si>
    <t>CS_68-002</t>
  </si>
  <si>
    <t>793671.442874, 2187304.795561</t>
  </si>
  <si>
    <t>CS_68-003</t>
  </si>
  <si>
    <t>793648.905065, 2187279.644672</t>
  </si>
  <si>
    <t>CS_68-004</t>
  </si>
  <si>
    <t>793606.115891, 2187247.634450</t>
  </si>
  <si>
    <t>CS_68-005</t>
  </si>
  <si>
    <t>793596.970114, 2187235.222324</t>
  </si>
  <si>
    <t>CS_68-006</t>
  </si>
  <si>
    <t>793565.939797, 2187187.860261</t>
  </si>
  <si>
    <t>793525.437067, 2187125.962945</t>
  </si>
  <si>
    <t>793491.140401, 2187073.048089</t>
  </si>
  <si>
    <t>CS_7</t>
  </si>
  <si>
    <t>793211.750342, 2187374.166264</t>
  </si>
  <si>
    <t>CS_8</t>
  </si>
  <si>
    <t>CS_8-001</t>
  </si>
  <si>
    <t>CS_8-002</t>
  </si>
  <si>
    <t>793291.365063, 2187347.065942</t>
  </si>
  <si>
    <t>793334.364240, 2187330.926196</t>
  </si>
  <si>
    <t>CS_8-004</t>
  </si>
  <si>
    <t>793377.664531, 2187315.268232</t>
  </si>
  <si>
    <t>793361.043000, 2187269.017017</t>
  </si>
  <si>
    <t>793344.722585, 2187226.620071</t>
  </si>
  <si>
    <t>CS_8-007</t>
  </si>
  <si>
    <t>793328.228471, 2187179.697204</t>
  </si>
  <si>
    <t>CS_8-008</t>
  </si>
  <si>
    <t>793367.366408, 2187164.831338</t>
  </si>
  <si>
    <t>793388.926220, 2187158.146592</t>
  </si>
  <si>
    <t>793413.376732, 2187149.956273</t>
  </si>
  <si>
    <t>793380.615454, 2187106.053753</t>
  </si>
  <si>
    <t>CS_9</t>
  </si>
  <si>
    <t>793218.254419, 2187162.693424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</si>
  <si>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</si>
  <si>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</si>
  <si>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</si>
  <si>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</si>
  <si>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</si>
  <si>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</si>
  <si>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</si>
  <si>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</si>
  <si>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</si>
  <si>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</si>
  <si>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</si>
  <si>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</si>
  <si>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</si>
  <si>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</si>
  <si>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</si>
  <si>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</si>
  <si>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</si>
  <si>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</si>
  <si>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</si>
  <si>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</si>
  <si>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</si>
  <si>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</si>
  <si>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</si>
  <si>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</si>
  <si>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</si>
  <si>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</si>
  <si>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</si>
  <si>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</si>
  <si>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</si>
  <si>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</si>
  <si>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</si>
  <si>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</si>
  <si>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</si>
  <si>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</si>
  <si>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</si>
  <si>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</si>
  <si>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</si>
  <si>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</si>
  <si>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</si>
  <si>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</si>
  <si>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</si>
  <si>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</si>
  <si>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</si>
  <si>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</si>
  <si>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</si>
  <si>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DATA :</t>
  </si>
  <si>
    <t>MICROSSISTEMA :</t>
  </si>
  <si>
    <t>PROJETO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</si>
</sst>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6" formatCode="#,##0.00_ ;[Red]\-#,##0.00\ "/>
    <numFmt numFmtId="197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0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4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8" fillId="62" borderId="30" xfId="82" applyFont="1" applyFill="1" applyBorder="1" applyAlignment="1" applyProtection="1">
      <alignment horizontal="left" vertical="center" wrapText="1"/>
    </xf>
    <xf numFmtId="0" fontId="69" fillId="62" borderId="29" xfId="81" applyFont="1" applyFill="1" applyBorder="1" applyAlignment="1" applyProtection="1"/>
    <xf numFmtId="0" fontId="69" fillId="65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4" borderId="0" xfId="81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Border="1" applyAlignment="1" applyProtection="1">
      <alignment horizontal="center" vertical="center"/>
    </xf>
    <xf numFmtId="173" fontId="70" fillId="64" borderId="0" xfId="86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/>
    </xf>
    <xf numFmtId="9" fontId="34" fillId="64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 applyBorder="1"/>
    <xf numFmtId="0" fontId="76" fillId="69" borderId="0" xfId="0" applyFont="1" applyFill="1" applyBorder="1" applyAlignment="1">
      <alignment vertical="center"/>
    </xf>
    <xf numFmtId="0" fontId="6" fillId="70" borderId="0" xfId="0" applyFont="1" applyFill="1" applyBorder="1"/>
    <xf numFmtId="0" fontId="6" fillId="71" borderId="0" xfId="0" applyFont="1" applyFill="1" applyBorder="1"/>
    <xf numFmtId="0" fontId="6" fillId="70" borderId="0" xfId="0" applyFont="1" applyFill="1" applyBorder="1" applyAlignment="1">
      <alignment vertical="center"/>
    </xf>
    <xf numFmtId="0" fontId="74" fillId="70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 vertical="center"/>
    </xf>
    <xf numFmtId="0" fontId="6" fillId="71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/>
    </xf>
    <xf numFmtId="0" fontId="77" fillId="70" borderId="0" xfId="0" applyFont="1" applyFill="1" applyBorder="1" applyAlignment="1">
      <alignment horizontal="left" vertical="center"/>
    </xf>
    <xf numFmtId="0" fontId="54" fillId="70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 applyBorder="1"/>
    <xf numFmtId="0" fontId="38" fillId="59" borderId="35" xfId="81" applyFont="1" applyFill="1" applyBorder="1" applyAlignment="1" applyProtection="1">
      <alignment horizontal="center" vertical="center" wrapText="1"/>
    </xf>
    <xf numFmtId="0" fontId="38" fillId="56" borderId="51" xfId="81" applyFont="1" applyFill="1" applyBorder="1" applyAlignment="1" applyProtection="1">
      <alignment horizontal="center" vertical="center" wrapText="1"/>
    </xf>
    <xf numFmtId="0" fontId="79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2" fontId="1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4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1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8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 applyProtection="1">
      <alignment horizontal="center" vertical="center" wrapText="1"/>
    </xf>
    <xf numFmtId="0" fontId="27" fillId="74" borderId="17" xfId="81" applyFont="1" applyFill="1" applyBorder="1" applyAlignment="1" applyProtection="1"/>
    <xf numFmtId="0" fontId="27" fillId="74" borderId="18" xfId="81" applyFont="1" applyFill="1" applyBorder="1" applyAlignment="1" applyProtection="1"/>
    <xf numFmtId="0" fontId="27" fillId="74" borderId="16" xfId="81" applyFont="1" applyFill="1" applyBorder="1" applyAlignment="1" applyProtection="1">
      <alignment horizontal="center" vertical="center"/>
    </xf>
    <xf numFmtId="190" fontId="38" fillId="61" borderId="47" xfId="81" applyNumberFormat="1" applyFont="1" applyFill="1" applyBorder="1" applyAlignment="1" applyProtection="1">
      <alignment horizontal="center" vertical="center" wrapText="1"/>
    </xf>
    <xf numFmtId="190" fontId="38" fillId="76" borderId="47" xfId="81" applyNumberFormat="1" applyFont="1" applyFill="1" applyBorder="1" applyAlignment="1" applyProtection="1">
      <alignment horizontal="center" vertical="center" wrapText="1"/>
    </xf>
    <xf numFmtId="1" fontId="70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70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Border="1" applyAlignment="1" applyProtection="1">
      <alignment horizontal="center"/>
    </xf>
    <xf numFmtId="0" fontId="27" fillId="68" borderId="0" xfId="81" applyFont="1" applyFill="1" applyBorder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 applyProtection="1"/>
    <xf numFmtId="166" fontId="39" fillId="79" borderId="0" xfId="82" applyNumberFormat="1" applyFont="1" applyFill="1" applyBorder="1" applyAlignment="1" applyProtection="1">
      <alignment horizontal="right" vertical="center"/>
    </xf>
    <xf numFmtId="191" fontId="39" fillId="79" borderId="0" xfId="82" applyNumberFormat="1" applyFont="1" applyFill="1" applyBorder="1" applyAlignment="1" applyProtection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1" fillId="53" borderId="24" xfId="80" applyFont="1" applyFill="1" applyBorder="1" applyAlignment="1" applyProtection="1"/>
    <xf numFmtId="0" fontId="81" fillId="53" borderId="0" xfId="80" applyFont="1" applyFill="1" applyBorder="1" applyAlignment="1" applyProtection="1">
      <protection locked="0"/>
    </xf>
    <xf numFmtId="0" fontId="72" fillId="74" borderId="28" xfId="81" applyFont="1" applyFill="1" applyBorder="1" applyAlignment="1" applyProtection="1">
      <alignment horizontal="left" vertical="center"/>
    </xf>
    <xf numFmtId="0" fontId="73" fillId="80" borderId="29" xfId="81" applyFont="1" applyFill="1" applyBorder="1" applyAlignment="1" applyProtection="1"/>
    <xf numFmtId="0" fontId="73" fillId="80" borderId="30" xfId="82" applyFont="1" applyFill="1" applyBorder="1" applyAlignment="1" applyProtection="1">
      <alignment horizontal="left" vertical="center" wrapText="1"/>
    </xf>
    <xf numFmtId="0" fontId="73" fillId="74" borderId="29" xfId="81" applyFont="1" applyFill="1" applyBorder="1" applyAlignment="1" applyProtection="1">
      <alignment horizontal="left" vertical="center"/>
    </xf>
    <xf numFmtId="0" fontId="73" fillId="80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 applyProtection="1">
      <alignment horizontal="center" vertical="center" wrapText="1"/>
    </xf>
    <xf numFmtId="0" fontId="60" fillId="55" borderId="48" xfId="81" applyFont="1" applyFill="1" applyBorder="1" applyAlignment="1" applyProtection="1">
      <alignment horizontal="center" vertical="center" wrapText="1"/>
    </xf>
    <xf numFmtId="0" fontId="60" fillId="55" borderId="59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0" fontId="60" fillId="55" borderId="5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190" fontId="60" fillId="61" borderId="47" xfId="81" applyNumberFormat="1" applyFont="1" applyFill="1" applyBorder="1" applyAlignment="1" applyProtection="1">
      <alignment horizontal="center" vertical="center" wrapText="1"/>
    </xf>
    <xf numFmtId="0" fontId="83" fillId="65" borderId="28" xfId="81" applyFont="1" applyFill="1" applyBorder="1" applyAlignment="1" applyProtection="1">
      <alignment horizontal="left" vertical="center"/>
    </xf>
    <xf numFmtId="0" fontId="84" fillId="50" borderId="0" xfId="81" applyFont="1" applyFill="1" applyBorder="1" applyAlignment="1" applyProtection="1">
      <alignment vertical="center"/>
    </xf>
    <xf numFmtId="2" fontId="86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8" borderId="0" xfId="81" applyFont="1" applyFill="1" applyBorder="1" applyAlignment="1"/>
    <xf numFmtId="0" fontId="38" fillId="60" borderId="51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1" fillId="0" borderId="0" xfId="80" applyFont="1" applyAlignment="1" applyProtection="1"/>
    <xf numFmtId="0" fontId="87" fillId="0" borderId="0" xfId="80" applyFont="1" applyAlignment="1" applyProtection="1"/>
    <xf numFmtId="0" fontId="81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6" fillId="51" borderId="0" xfId="78" quotePrefix="1" applyFill="1"/>
    <xf numFmtId="0" fontId="0" fillId="51" borderId="0" xfId="0" applyFill="1" applyProtection="1">
      <protection locked="0"/>
    </xf>
    <xf numFmtId="0" fontId="27" fillId="63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88" fillId="59" borderId="35" xfId="81" applyFont="1" applyFill="1" applyBorder="1" applyAlignment="1" applyProtection="1">
      <alignment horizontal="center" vertic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0" fontId="38" fillId="0" borderId="43" xfId="81" applyFont="1" applyFill="1" applyBorder="1" applyAlignment="1" applyProtection="1">
      <alignment horizontal="center" vertical="center" wrapText="1"/>
      <protection hidden="1"/>
    </xf>
    <xf numFmtId="0" fontId="38" fillId="0" borderId="41" xfId="81" applyFont="1" applyFill="1" applyBorder="1" applyAlignment="1" applyProtection="1">
      <alignment horizontal="center" vertical="center" wrapText="1"/>
      <protection hidden="1"/>
    </xf>
    <xf numFmtId="0" fontId="38" fillId="0" borderId="17" xfId="81" applyFont="1" applyFill="1" applyBorder="1" applyAlignment="1" applyProtection="1">
      <alignment horizontal="center" vertical="center" wrapText="1"/>
      <protection hidden="1"/>
    </xf>
    <xf numFmtId="196" fontId="0" fillId="0" borderId="15" xfId="0" applyNumberFormat="1" applyFill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89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Border="1" applyAlignment="1" applyProtection="1">
      <alignment horizontal="right" vertical="center"/>
    </xf>
    <xf numFmtId="0" fontId="80" fillId="50" borderId="0" xfId="81" applyFont="1" applyFill="1" applyBorder="1" applyAlignment="1" applyProtection="1">
      <alignment horizontal="center" vertical="center"/>
    </xf>
    <xf numFmtId="0" fontId="38" fillId="0" borderId="15" xfId="81" applyFont="1" applyFill="1" applyBorder="1" applyAlignment="1" applyProtection="1">
      <alignment horizontal="center" vertical="center" wrapText="1"/>
      <protection hidden="1"/>
    </xf>
    <xf numFmtId="197" fontId="0" fillId="0" borderId="15" xfId="0" applyNumberFormat="1" applyBorder="1"/>
    <xf numFmtId="0" fontId="38" fillId="87" borderId="15" xfId="81" applyFont="1" applyFill="1" applyBorder="1" applyAlignment="1" applyProtection="1">
      <alignment horizontal="center" vertical="center" wrapText="1"/>
      <protection hidden="1"/>
    </xf>
    <xf numFmtId="0" fontId="38" fillId="88" borderId="17" xfId="81" applyFont="1" applyFill="1" applyBorder="1" applyAlignment="1" applyProtection="1">
      <alignment horizontal="center" vertical="center" wrapText="1"/>
      <protection hidden="1"/>
    </xf>
    <xf numFmtId="0" fontId="38" fillId="88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89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3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92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92" fillId="90" borderId="22" xfId="80" applyFont="1" applyFill="1" applyBorder="1" applyAlignment="1" applyProtection="1">
      <alignment horizontal="left" vertical="center" wrapText="1" indent="1"/>
    </xf>
    <xf numFmtId="0" fontId="92" fillId="90" borderId="21" xfId="80" applyFont="1" applyFill="1" applyBorder="1" applyAlignment="1" applyProtection="1">
      <alignment horizontal="left" vertical="center" wrapText="1" indent="1"/>
    </xf>
    <xf numFmtId="0" fontId="92" fillId="90" borderId="31" xfId="80" applyFont="1" applyFill="1" applyBorder="1" applyAlignment="1" applyProtection="1">
      <alignment horizontal="left" vertical="center" wrapText="1" indent="1"/>
    </xf>
    <xf numFmtId="14" fontId="92" fillId="90" borderId="22" xfId="80" applyNumberFormat="1" applyFont="1" applyFill="1" applyBorder="1" applyAlignment="1" applyProtection="1">
      <alignment horizontal="left" vertical="center" wrapText="1" indent="1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190" fontId="85" fillId="61" borderId="41" xfId="81" applyNumberFormat="1" applyFont="1" applyFill="1" applyBorder="1" applyAlignment="1" applyProtection="1">
      <alignment horizontal="center" textRotation="90" wrapText="1"/>
    </xf>
    <xf numFmtId="190" fontId="85" fillId="61" borderId="68" xfId="81" applyNumberFormat="1" applyFont="1" applyFill="1" applyBorder="1" applyAlignment="1" applyProtection="1">
      <alignment horizontal="center" textRotation="90" wrapText="1"/>
    </xf>
    <xf numFmtId="190" fontId="85" fillId="61" borderId="49" xfId="81" applyNumberFormat="1" applyFont="1" applyFill="1" applyBorder="1" applyAlignment="1" applyProtection="1">
      <alignment horizontal="center" textRotation="90" wrapText="1"/>
    </xf>
    <xf numFmtId="190" fontId="85" fillId="84" borderId="41" xfId="81" applyNumberFormat="1" applyFont="1" applyFill="1" applyBorder="1" applyAlignment="1" applyProtection="1">
      <alignment horizontal="center" vertical="center" textRotation="90" wrapText="1"/>
    </xf>
    <xf numFmtId="190" fontId="85" fillId="84" borderId="68" xfId="81" applyNumberFormat="1" applyFont="1" applyFill="1" applyBorder="1" applyAlignment="1" applyProtection="1">
      <alignment horizontal="center" vertical="center" textRotation="90" wrapText="1"/>
    </xf>
    <xf numFmtId="190" fontId="85" fillId="84" borderId="49" xfId="81" applyNumberFormat="1" applyFont="1" applyFill="1" applyBorder="1" applyAlignment="1" applyProtection="1">
      <alignment horizontal="center" vertical="center" textRotation="90" wrapText="1"/>
    </xf>
    <xf numFmtId="0" fontId="38" fillId="58" borderId="17" xfId="81" applyFont="1" applyFill="1" applyBorder="1" applyAlignment="1" applyProtection="1">
      <alignment horizontal="center" vertical="center" wrapText="1"/>
    </xf>
    <xf numFmtId="0" fontId="38" fillId="58" borderId="16" xfId="81" applyFont="1" applyFill="1" applyBorder="1" applyAlignment="1" applyProtection="1">
      <alignment horizontal="center" vertical="center" wrapText="1"/>
    </xf>
    <xf numFmtId="0" fontId="88" fillId="59" borderId="44" xfId="81" applyFont="1" applyFill="1" applyBorder="1" applyAlignment="1" applyProtection="1">
      <alignment horizontal="center" vertical="center" wrapText="1"/>
    </xf>
    <xf numFmtId="0" fontId="88" fillId="59" borderId="45" xfId="81" applyFont="1" applyFill="1" applyBorder="1" applyAlignment="1" applyProtection="1">
      <alignment horizontal="center" vertical="center" wrapText="1"/>
    </xf>
    <xf numFmtId="0" fontId="88" fillId="59" borderId="10" xfId="81" applyFont="1" applyFill="1" applyBorder="1" applyAlignment="1" applyProtection="1">
      <alignment horizontal="center" vertical="center" wrapText="1"/>
    </xf>
    <xf numFmtId="0" fontId="88" fillId="59" borderId="13" xfId="81" applyFont="1" applyFill="1" applyBorder="1" applyAlignment="1" applyProtection="1">
      <alignment horizontal="center" vertical="center" wrapText="1"/>
    </xf>
    <xf numFmtId="0" fontId="70" fillId="82" borderId="43" xfId="81" applyFont="1" applyFill="1" applyBorder="1" applyAlignment="1" applyProtection="1">
      <alignment horizontal="center" vertical="center" wrapText="1"/>
    </xf>
    <xf numFmtId="0" fontId="70" fillId="82" borderId="55" xfId="81" applyFont="1" applyFill="1" applyBorder="1" applyAlignment="1" applyProtection="1">
      <alignment horizontal="center" vertical="center" wrapText="1"/>
    </xf>
    <xf numFmtId="0" fontId="70" fillId="82" borderId="56" xfId="81" applyFont="1" applyFill="1" applyBorder="1" applyAlignment="1" applyProtection="1">
      <alignment horizontal="center" vertical="center" wrapText="1"/>
    </xf>
    <xf numFmtId="0" fontId="70" fillId="81" borderId="17" xfId="81" applyFont="1" applyFill="1" applyBorder="1" applyAlignment="1" applyProtection="1">
      <alignment horizontal="center" vertical="center" wrapText="1"/>
    </xf>
    <xf numFmtId="0" fontId="70" fillId="81" borderId="18" xfId="81" applyFont="1" applyFill="1" applyBorder="1" applyAlignment="1" applyProtection="1">
      <alignment horizontal="center" vertical="center" wrapText="1"/>
    </xf>
    <xf numFmtId="0" fontId="70" fillId="81" borderId="16" xfId="81" applyFont="1" applyFill="1" applyBorder="1" applyAlignment="1" applyProtection="1">
      <alignment horizontal="center" vertical="center" wrapText="1"/>
    </xf>
    <xf numFmtId="0" fontId="60" fillId="56" borderId="50" xfId="81" applyFont="1" applyFill="1" applyBorder="1" applyAlignment="1" applyProtection="1">
      <alignment horizontal="center" vertical="center" wrapText="1"/>
    </xf>
    <xf numFmtId="0" fontId="38" fillId="67" borderId="33" xfId="81" applyFont="1" applyFill="1" applyBorder="1" applyAlignment="1" applyProtection="1">
      <alignment horizontal="center" vertical="center" wrapText="1"/>
    </xf>
    <xf numFmtId="0" fontId="38" fillId="67" borderId="44" xfId="81" applyFont="1" applyFill="1" applyBorder="1" applyAlignment="1" applyProtection="1">
      <alignment horizontal="center" vertical="center" wrapText="1"/>
    </xf>
    <xf numFmtId="0" fontId="38" fillId="67" borderId="54" xfId="81" applyFont="1" applyFill="1" applyBorder="1" applyAlignment="1" applyProtection="1">
      <alignment horizontal="center" vertical="center" wrapText="1"/>
    </xf>
    <xf numFmtId="0" fontId="38" fillId="67" borderId="10" xfId="81" applyFont="1" applyFill="1" applyBorder="1" applyAlignment="1" applyProtection="1">
      <alignment horizontal="center" vertical="center" wrapText="1"/>
    </xf>
    <xf numFmtId="0" fontId="38" fillId="59" borderId="44" xfId="81" applyFont="1" applyFill="1" applyBorder="1" applyAlignment="1" applyProtection="1">
      <alignment horizontal="center" vertical="center" wrapText="1"/>
    </xf>
    <xf numFmtId="0" fontId="38" fillId="59" borderId="10" xfId="81" applyFont="1" applyFill="1" applyBorder="1" applyAlignment="1" applyProtection="1">
      <alignment horizontal="center" vertical="center" wrapText="1"/>
    </xf>
    <xf numFmtId="0" fontId="38" fillId="60" borderId="60" xfId="81" applyFont="1" applyFill="1" applyBorder="1" applyAlignment="1" applyProtection="1">
      <alignment horizontal="center" vertical="center" wrapText="1"/>
    </xf>
    <xf numFmtId="0" fontId="38" fillId="60" borderId="61" xfId="81" applyFont="1" applyFill="1" applyBorder="1" applyAlignment="1" applyProtection="1">
      <alignment horizontal="center" vertical="center" wrapText="1"/>
    </xf>
    <xf numFmtId="0" fontId="38" fillId="60" borderId="62" xfId="81" applyFont="1" applyFill="1" applyBorder="1" applyAlignment="1" applyProtection="1">
      <alignment horizontal="center" vertical="center" wrapText="1"/>
    </xf>
    <xf numFmtId="0" fontId="38" fillId="60" borderId="63" xfId="81" applyFont="1" applyFill="1" applyBorder="1" applyAlignment="1" applyProtection="1">
      <alignment horizontal="center" vertical="center" wrapText="1"/>
    </xf>
    <xf numFmtId="0" fontId="38" fillId="60" borderId="64" xfId="81" applyFont="1" applyFill="1" applyBorder="1" applyAlignment="1" applyProtection="1">
      <alignment horizontal="center" vertical="center" wrapText="1"/>
    </xf>
    <xf numFmtId="0" fontId="38" fillId="60" borderId="65" xfId="81" applyFont="1" applyFill="1" applyBorder="1" applyAlignment="1" applyProtection="1">
      <alignment horizontal="center" vertical="center" wrapText="1"/>
    </xf>
    <xf numFmtId="0" fontId="38" fillId="60" borderId="66" xfId="81" applyFont="1" applyFill="1" applyBorder="1" applyAlignment="1" applyProtection="1">
      <alignment horizontal="center" vertical="center" wrapText="1"/>
    </xf>
    <xf numFmtId="0" fontId="38" fillId="60" borderId="67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5" borderId="52" xfId="81" applyNumberFormat="1" applyFont="1" applyFill="1" applyBorder="1" applyAlignment="1" applyProtection="1">
      <alignment horizontal="center" vertical="center" wrapText="1"/>
    </xf>
    <xf numFmtId="190" fontId="38" fillId="75" borderId="11" xfId="81" applyNumberFormat="1" applyFont="1" applyFill="1" applyBorder="1" applyAlignment="1" applyProtection="1">
      <alignment horizontal="center" vertical="center" wrapText="1"/>
    </xf>
    <xf numFmtId="190" fontId="38" fillId="75" borderId="48" xfId="81" applyNumberFormat="1" applyFont="1" applyFill="1" applyBorder="1" applyAlignment="1" applyProtection="1">
      <alignment horizontal="center" vertical="center" wrapText="1"/>
    </xf>
    <xf numFmtId="2" fontId="38" fillId="73" borderId="52" xfId="81" applyNumberFormat="1" applyFont="1" applyFill="1" applyBorder="1" applyAlignment="1" applyProtection="1">
      <alignment horizontal="center" vertical="center" wrapText="1"/>
    </xf>
    <xf numFmtId="2" fontId="38" fillId="73" borderId="42" xfId="81" applyNumberFormat="1" applyFont="1" applyFill="1" applyBorder="1" applyAlignment="1" applyProtection="1">
      <alignment horizontal="center" vertical="center" wrapText="1"/>
    </xf>
    <xf numFmtId="2" fontId="38" fillId="73" borderId="48" xfId="81" applyNumberFormat="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6" xfId="81" applyNumberFormat="1" applyFont="1" applyFill="1" applyBorder="1" applyAlignment="1" applyProtection="1">
      <alignment horizontal="center" vertical="center" wrapText="1"/>
    </xf>
    <xf numFmtId="0" fontId="60" fillId="61" borderId="22" xfId="81" applyFont="1" applyFill="1" applyBorder="1" applyAlignment="1" applyProtection="1">
      <alignment horizontal="center" vertical="center" wrapText="1"/>
    </xf>
    <xf numFmtId="0" fontId="60" fillId="61" borderId="21" xfId="81" applyFont="1" applyFill="1" applyBorder="1" applyAlignment="1" applyProtection="1">
      <alignment horizontal="center" vertical="center" wrapText="1"/>
    </xf>
    <xf numFmtId="0" fontId="60" fillId="61" borderId="31" xfId="81" applyFont="1" applyFill="1" applyBorder="1" applyAlignment="1" applyProtection="1">
      <alignment horizontal="center" vertical="center" wrapText="1"/>
    </xf>
    <xf numFmtId="0" fontId="38" fillId="61" borderId="22" xfId="81" applyFont="1" applyFill="1" applyBorder="1" applyAlignment="1" applyProtection="1">
      <alignment horizontal="center" vertical="center" wrapText="1"/>
    </xf>
    <xf numFmtId="0" fontId="38" fillId="61" borderId="21" xfId="81" applyFont="1" applyFill="1" applyBorder="1" applyAlignment="1" applyProtection="1">
      <alignment horizontal="center" vertical="center" wrapText="1"/>
    </xf>
    <xf numFmtId="0" fontId="38" fillId="61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38" fillId="75" borderId="53" xfId="81" applyFont="1" applyFill="1" applyBorder="1" applyAlignment="1" applyProtection="1">
      <alignment horizontal="center" vertical="center" wrapText="1"/>
    </xf>
    <xf numFmtId="0" fontId="38" fillId="75" borderId="42" xfId="81" applyFont="1" applyFill="1" applyBorder="1" applyAlignment="1" applyProtection="1">
      <alignment horizontal="center" vertical="center" wrapText="1"/>
    </xf>
    <xf numFmtId="0" fontId="38" fillId="75" borderId="51" xfId="81" applyFont="1" applyFill="1" applyBorder="1" applyAlignment="1" applyProtection="1">
      <alignment horizontal="center" vertical="center" wrapText="1"/>
    </xf>
    <xf numFmtId="49" fontId="60" fillId="73" borderId="57" xfId="81" applyNumberFormat="1" applyFont="1" applyFill="1" applyBorder="1" applyAlignment="1" applyProtection="1">
      <alignment horizontal="center" vertical="center" wrapText="1"/>
    </xf>
    <xf numFmtId="49" fontId="60" fillId="73" borderId="58" xfId="81" applyNumberFormat="1" applyFont="1" applyFill="1" applyBorder="1" applyAlignment="1" applyProtection="1">
      <alignment horizontal="center" vertical="center" wrapText="1"/>
    </xf>
    <xf numFmtId="49" fontId="60" fillId="73" borderId="59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5" fillId="61" borderId="17" xfId="81" applyNumberFormat="1" applyFont="1" applyFill="1" applyBorder="1" applyAlignment="1" applyProtection="1">
      <alignment horizontal="center" vertical="center" textRotation="90" wrapText="1"/>
    </xf>
    <xf numFmtId="190" fontId="85" fillId="61" borderId="18" xfId="81" applyNumberFormat="1" applyFont="1" applyFill="1" applyBorder="1" applyAlignment="1" applyProtection="1">
      <alignment horizontal="center" vertical="center" textRotation="90" wrapText="1"/>
    </xf>
    <xf numFmtId="190" fontId="85" fillId="61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7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70" fillId="82" borderId="17" xfId="81" applyFont="1" applyFill="1" applyBorder="1" applyAlignment="1" applyProtection="1">
      <alignment horizontal="center" vertical="center" wrapText="1"/>
    </xf>
    <xf numFmtId="0" fontId="70" fillId="82" borderId="18" xfId="81" applyFont="1" applyFill="1" applyBorder="1" applyAlignment="1" applyProtection="1">
      <alignment horizontal="center" vertical="center" wrapText="1"/>
    </xf>
    <xf numFmtId="0" fontId="70" fillId="82" borderId="16" xfId="81" applyFont="1" applyFill="1" applyBorder="1" applyAlignment="1" applyProtection="1">
      <alignment horizontal="center" vertical="center" wrapText="1"/>
    </xf>
    <xf numFmtId="190" fontId="85" fillId="61" borderId="41" xfId="81" applyNumberFormat="1" applyFont="1" applyFill="1" applyBorder="1" applyAlignment="1" applyProtection="1">
      <alignment horizontal="center" vertical="center" textRotation="90" wrapText="1"/>
    </xf>
    <xf numFmtId="190" fontId="85" fillId="61" borderId="68" xfId="81" applyNumberFormat="1" applyFont="1" applyFill="1" applyBorder="1" applyAlignment="1" applyProtection="1">
      <alignment horizontal="center" vertical="center" textRotation="90" wrapText="1"/>
    </xf>
    <xf numFmtId="190" fontId="85" fillId="61" borderId="49" xfId="81" applyNumberFormat="1" applyFont="1" applyFill="1" applyBorder="1" applyAlignment="1" applyProtection="1">
      <alignment horizontal="center" vertical="center" textRotation="90" wrapText="1"/>
    </xf>
    <xf numFmtId="0" fontId="70" fillId="81" borderId="30" xfId="81" applyFont="1" applyFill="1" applyBorder="1" applyAlignment="1" applyProtection="1">
      <alignment horizontal="center" vertical="center" wrapText="1"/>
    </xf>
    <xf numFmtId="0" fontId="70" fillId="81" borderId="25" xfId="81" applyFont="1" applyFill="1" applyBorder="1" applyAlignment="1" applyProtection="1">
      <alignment horizontal="center" vertical="center" wrapText="1"/>
    </xf>
    <xf numFmtId="0" fontId="70" fillId="81" borderId="27" xfId="81" applyFont="1" applyFill="1" applyBorder="1" applyAlignment="1" applyProtection="1">
      <alignment horizontal="center" vertical="center" wrapText="1"/>
    </xf>
    <xf numFmtId="49" fontId="38" fillId="73" borderId="52" xfId="81" applyNumberFormat="1" applyFont="1" applyFill="1" applyBorder="1" applyAlignment="1" applyProtection="1">
      <alignment horizontal="center" vertical="center" wrapText="1"/>
    </xf>
    <xf numFmtId="49" fontId="38" fillId="73" borderId="11" xfId="81" applyNumberFormat="1" applyFont="1" applyFill="1" applyBorder="1" applyAlignment="1" applyProtection="1">
      <alignment horizontal="center" vertical="center" wrapText="1"/>
    </xf>
    <xf numFmtId="49" fontId="38" fillId="73" borderId="48" xfId="81" applyNumberFormat="1" applyFont="1" applyFill="1" applyBorder="1" applyAlignment="1" applyProtection="1">
      <alignment horizontal="center" vertical="center" wrapText="1"/>
    </xf>
    <xf numFmtId="0" fontId="38" fillId="60" borderId="51" xfId="81" applyFont="1" applyFill="1" applyBorder="1" applyAlignment="1" applyProtection="1">
      <alignment horizontal="center" vertical="center" wrapText="1"/>
    </xf>
    <xf numFmtId="0" fontId="38" fillId="60" borderId="49" xfId="81" applyFont="1" applyFill="1" applyBorder="1" applyAlignment="1" applyProtection="1">
      <alignment horizontal="center" vertical="center" wrapText="1"/>
    </xf>
    <xf numFmtId="0" fontId="38" fillId="58" borderId="22" xfId="81" applyFont="1" applyFill="1" applyBorder="1" applyAlignment="1" applyProtection="1">
      <alignment horizontal="center" vertical="center" wrapText="1"/>
    </xf>
    <xf numFmtId="0" fontId="38" fillId="58" borderId="31" xfId="81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77" borderId="22" xfId="80" applyFont="1" applyFill="1" applyBorder="1" applyAlignment="1" applyProtection="1">
      <alignment horizontal="center" vertical="center" wrapText="1"/>
    </xf>
    <xf numFmtId="0" fontId="39" fillId="77" borderId="31" xfId="80" applyFont="1" applyFill="1" applyBorder="1" applyAlignment="1" applyProtection="1">
      <alignment horizontal="center" vertical="center" wrapText="1"/>
    </xf>
    <xf numFmtId="0" fontId="34" fillId="79" borderId="23" xfId="82" applyFont="1" applyFill="1" applyBorder="1" applyAlignment="1" applyProtection="1">
      <alignment horizontal="left" vertical="center" wrapText="1"/>
    </xf>
    <xf numFmtId="0" fontId="34" fillId="79" borderId="26" xfId="82" applyFont="1" applyFill="1" applyBorder="1" applyAlignment="1" applyProtection="1">
      <alignment horizontal="left" vertical="center" wrapText="1"/>
    </xf>
    <xf numFmtId="0" fontId="34" fillId="79" borderId="27" xfId="82" applyFont="1" applyFill="1" applyBorder="1" applyAlignment="1" applyProtection="1">
      <alignment horizontal="left" vertical="center" wrapText="1"/>
    </xf>
    <xf numFmtId="166" fontId="39" fillId="79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Fill="1" applyBorder="1" applyAlignment="1" applyProtection="1">
      <alignment horizontal="center" vertical="center" wrapText="1"/>
      <protection hidden="1"/>
    </xf>
    <xf numFmtId="0" fontId="38" fillId="0" borderId="36" xfId="81" applyFont="1" applyFill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09"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9</xdr:row>
          <xdr:rowOff>28575</xdr:rowOff>
        </xdr:from>
        <xdr:to>
          <xdr:col>7</xdr:col>
          <xdr:colOff>104775</xdr:colOff>
          <xdr:row>10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4</xdr:row>
          <xdr:rowOff>19050</xdr:rowOff>
        </xdr:from>
        <xdr:to>
          <xdr:col>11</xdr:col>
          <xdr:colOff>762000</xdr:colOff>
          <xdr:row>5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9</xdr:row>
          <xdr:rowOff>38100</xdr:rowOff>
        </xdr:from>
        <xdr:to>
          <xdr:col>9</xdr:col>
          <xdr:colOff>123825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9</xdr:row>
          <xdr:rowOff>28575</xdr:rowOff>
        </xdr:from>
        <xdr:to>
          <xdr:col>8</xdr:col>
          <xdr:colOff>104775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6</xdr:row>
          <xdr:rowOff>19050</xdr:rowOff>
        </xdr:from>
        <xdr:to>
          <xdr:col>9</xdr:col>
          <xdr:colOff>1066800</xdr:colOff>
          <xdr:row>8</xdr:row>
          <xdr:rowOff>47625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57150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571500</xdr:colOff>
          <xdr:row>5</xdr:row>
          <xdr:rowOff>9525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5</xdr:row>
          <xdr:rowOff>171450</xdr:rowOff>
        </xdr:from>
        <xdr:to>
          <xdr:col>13</xdr:col>
          <xdr:colOff>581025</xdr:colOff>
          <xdr:row>8</xdr:row>
          <xdr:rowOff>9525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231998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21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762000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21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7</xdr:row>
          <xdr:rowOff>171450</xdr:rowOff>
        </xdr:from>
        <xdr:to>
          <xdr:col>6</xdr:col>
          <xdr:colOff>838200</xdr:colOff>
          <xdr:row>9</xdr:row>
          <xdr:rowOff>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5</xdr:row>
          <xdr:rowOff>495300</xdr:rowOff>
        </xdr:from>
        <xdr:to>
          <xdr:col>6</xdr:col>
          <xdr:colOff>838200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3" xr16:uid="{00000000-0016-0000-0100-00000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1" xr16:uid="{00000000-0016-0000-01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7" sqref="G7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0"/>
      <c r="B1" s="181" t="s">
        <v>175</v>
      </c>
      <c r="C1" s="180"/>
      <c r="D1" s="182"/>
    </row>
    <row r="2" spans="1:4" x14ac:dyDescent="0.2">
      <c r="A2" s="183"/>
      <c r="B2" s="183"/>
      <c r="C2" s="183"/>
      <c r="D2" s="182"/>
    </row>
    <row r="3" spans="1:4" ht="15.75" x14ac:dyDescent="0.2">
      <c r="A3" s="184"/>
      <c r="B3" s="185"/>
      <c r="C3" s="182"/>
      <c r="D3" s="182"/>
    </row>
    <row r="4" spans="1:4" ht="25.5" customHeight="1" x14ac:dyDescent="0.2">
      <c r="A4" s="186" t="s">
        <v>70</v>
      </c>
      <c r="B4" s="190" t="s">
        <v>176</v>
      </c>
      <c r="C4" s="182"/>
      <c r="D4" s="182"/>
    </row>
    <row r="5" spans="1:4" ht="15.75" x14ac:dyDescent="0.2">
      <c r="A5" s="184"/>
      <c r="B5" s="185"/>
      <c r="C5" s="182"/>
      <c r="D5" s="182"/>
    </row>
    <row r="6" spans="1:4" ht="25.5" customHeight="1" x14ac:dyDescent="0.2">
      <c r="A6" s="186" t="s">
        <v>71</v>
      </c>
      <c r="B6" s="190" t="s">
        <v>177</v>
      </c>
      <c r="C6" s="182"/>
      <c r="D6" s="182"/>
    </row>
    <row r="7" spans="1:4" x14ac:dyDescent="0.2">
      <c r="A7" s="184"/>
      <c r="B7" s="184"/>
      <c r="C7" s="182"/>
      <c r="D7" s="182"/>
    </row>
    <row r="8" spans="1:4" ht="25.5" customHeight="1" x14ac:dyDescent="0.2">
      <c r="A8" s="186" t="s">
        <v>72</v>
      </c>
      <c r="B8" s="190" t="s">
        <v>178</v>
      </c>
      <c r="C8" s="193"/>
      <c r="D8" s="182"/>
    </row>
    <row r="9" spans="1:4" x14ac:dyDescent="0.2">
      <c r="A9" s="184"/>
      <c r="B9" s="184"/>
      <c r="C9" s="182"/>
      <c r="D9" s="182"/>
    </row>
    <row r="10" spans="1:4" ht="25.5" customHeight="1" x14ac:dyDescent="0.2">
      <c r="A10" s="186" t="s">
        <v>73</v>
      </c>
      <c r="B10" s="190" t="s">
        <v>179</v>
      </c>
      <c r="C10" s="193"/>
      <c r="D10" s="182"/>
    </row>
    <row r="11" spans="1:4" x14ac:dyDescent="0.2">
      <c r="A11" s="184"/>
      <c r="B11" s="184"/>
      <c r="C11" s="182"/>
      <c r="D11" s="182"/>
    </row>
    <row r="12" spans="1:4" ht="30" customHeight="1" x14ac:dyDescent="0.2">
      <c r="A12" s="186" t="s">
        <v>74</v>
      </c>
      <c r="B12" s="190" t="s">
        <v>180</v>
      </c>
      <c r="C12" s="182"/>
      <c r="D12" s="182"/>
    </row>
    <row r="13" spans="1:4" ht="12.75" customHeight="1" x14ac:dyDescent="0.2">
      <c r="A13" s="184"/>
      <c r="B13" s="190"/>
      <c r="C13" s="182"/>
      <c r="D13" s="182"/>
    </row>
    <row r="14" spans="1:4" ht="25.5" customHeight="1" x14ac:dyDescent="0.2">
      <c r="A14" s="186" t="s">
        <v>106</v>
      </c>
      <c r="B14" s="190" t="s">
        <v>181</v>
      </c>
      <c r="C14" s="182"/>
      <c r="D14" s="182"/>
    </row>
    <row r="15" spans="1:4" x14ac:dyDescent="0.2">
      <c r="A15" s="184"/>
      <c r="B15" s="184"/>
      <c r="C15" s="182"/>
      <c r="D15" s="182"/>
    </row>
    <row r="16" spans="1:4" ht="25.5" customHeight="1" x14ac:dyDescent="0.2">
      <c r="A16" s="186" t="s">
        <v>107</v>
      </c>
      <c r="B16" s="190" t="s">
        <v>182</v>
      </c>
      <c r="C16" s="182"/>
      <c r="D16" s="182"/>
    </row>
    <row r="17" spans="1:4" x14ac:dyDescent="0.2">
      <c r="A17" s="186"/>
      <c r="B17" s="184"/>
      <c r="C17" s="182"/>
      <c r="D17" s="182"/>
    </row>
    <row r="18" spans="1:4" x14ac:dyDescent="0.2">
      <c r="A18" s="186"/>
      <c r="B18" s="184"/>
      <c r="C18" s="182"/>
      <c r="D18" s="182"/>
    </row>
    <row r="19" spans="1:4" ht="25.5" customHeight="1" x14ac:dyDescent="0.2">
      <c r="A19" s="186" t="s">
        <v>108</v>
      </c>
      <c r="B19" s="190" t="s">
        <v>183</v>
      </c>
      <c r="C19" s="182"/>
      <c r="D19" s="182"/>
    </row>
    <row r="20" spans="1:4" x14ac:dyDescent="0.2">
      <c r="A20" s="184"/>
      <c r="B20" s="184"/>
      <c r="C20" s="182"/>
      <c r="D20" s="182"/>
    </row>
    <row r="21" spans="1:4" x14ac:dyDescent="0.2">
      <c r="A21" s="187"/>
      <c r="B21" s="187"/>
      <c r="C21" s="183"/>
      <c r="D21" s="182"/>
    </row>
    <row r="22" spans="1:4" x14ac:dyDescent="0.2">
      <c r="A22" s="184"/>
      <c r="B22" s="184"/>
      <c r="C22" s="188"/>
      <c r="D22" s="182"/>
    </row>
    <row r="23" spans="1:4" ht="15.75" x14ac:dyDescent="0.2">
      <c r="A23" s="184"/>
      <c r="B23" s="185" t="s">
        <v>329</v>
      </c>
      <c r="C23" s="189"/>
      <c r="D23" s="182"/>
    </row>
    <row r="24" spans="1:4" x14ac:dyDescent="0.2">
      <c r="A24" s="184"/>
      <c r="B24" s="184"/>
      <c r="C24" s="188"/>
      <c r="D24" s="182"/>
    </row>
    <row r="25" spans="1:4" x14ac:dyDescent="0.2">
      <c r="A25" s="184"/>
      <c r="B25" s="184"/>
      <c r="C25" s="188"/>
      <c r="D25" s="182"/>
    </row>
    <row r="26" spans="1:4" x14ac:dyDescent="0.2">
      <c r="A26" s="184"/>
      <c r="B26" s="184"/>
      <c r="C26" s="188"/>
      <c r="D26" s="182"/>
    </row>
    <row r="27" spans="1:4" x14ac:dyDescent="0.2">
      <c r="A27" s="184"/>
      <c r="B27" s="184"/>
      <c r="C27" s="188"/>
      <c r="D27" s="182"/>
    </row>
    <row r="28" spans="1:4" x14ac:dyDescent="0.2">
      <c r="A28" s="184"/>
      <c r="B28" s="184"/>
      <c r="C28" s="188"/>
      <c r="D28" s="182"/>
    </row>
    <row r="29" spans="1:4" x14ac:dyDescent="0.2">
      <c r="A29" s="184"/>
      <c r="B29" s="184"/>
      <c r="C29" s="188"/>
      <c r="D29" s="182"/>
    </row>
    <row r="30" spans="1:4" x14ac:dyDescent="0.2">
      <c r="A30" s="184"/>
      <c r="B30" s="184"/>
      <c r="C30" s="188"/>
      <c r="D30" s="182"/>
    </row>
    <row r="31" spans="1:4" x14ac:dyDescent="0.2">
      <c r="A31" s="184"/>
      <c r="B31" s="184"/>
      <c r="C31" s="188"/>
      <c r="D31" s="182"/>
    </row>
    <row r="32" spans="1:4" x14ac:dyDescent="0.2">
      <c r="A32" s="184"/>
      <c r="B32" s="184"/>
      <c r="C32" s="188"/>
      <c r="D32" s="182"/>
    </row>
    <row r="33" spans="1:4" x14ac:dyDescent="0.2">
      <c r="A33" s="187"/>
      <c r="B33" s="187"/>
      <c r="C33" s="183"/>
      <c r="D33" s="182"/>
    </row>
    <row r="34" spans="1:4" x14ac:dyDescent="0.2">
      <c r="A34" s="182"/>
      <c r="B34" s="182"/>
      <c r="C34" s="182"/>
      <c r="D34" s="182"/>
    </row>
    <row r="35" spans="1:4" x14ac:dyDescent="0.2">
      <c r="A35" s="182"/>
      <c r="B35" s="182"/>
      <c r="C35" s="182"/>
      <c r="D35" s="182"/>
    </row>
    <row r="36" spans="1:4" x14ac:dyDescent="0.2">
      <c r="A36" s="182"/>
      <c r="B36" s="182"/>
      <c r="C36" s="182"/>
      <c r="D36" s="182"/>
    </row>
    <row r="37" spans="1:4" x14ac:dyDescent="0.2">
      <c r="A37" s="182"/>
      <c r="B37" s="182"/>
      <c r="C37" s="182"/>
      <c r="D37" s="182"/>
    </row>
    <row r="38" spans="1:4" x14ac:dyDescent="0.2">
      <c r="A38" s="182"/>
      <c r="B38" s="182"/>
      <c r="C38" s="182"/>
      <c r="D38" s="182"/>
    </row>
    <row r="39" spans="1:4" x14ac:dyDescent="0.2">
      <c r="A39" s="182"/>
      <c r="B39" s="182"/>
      <c r="C39" s="182"/>
      <c r="D39" s="18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12"/>
    </sheetView>
  </sheetViews>
  <sheetFormatPr defaultColWidth="10.7109375" defaultRowHeight="12.75" x14ac:dyDescent="0.2"/>
  <cols>
    <col min="1" max="1" width="11.42578125" style="204" bestFit="1" customWidth="1"/>
    <col min="2" max="2" width="11.7109375" style="201" bestFit="1" customWidth="1"/>
    <col min="3" max="3" width="7.85546875" style="200" bestFit="1" customWidth="1"/>
    <col min="4" max="4" width="11.7109375" style="201" bestFit="1" customWidth="1"/>
    <col min="5" max="5" width="6.28515625" style="201" bestFit="1" customWidth="1"/>
    <col min="6" max="6" width="12.85546875" style="201" bestFit="1" customWidth="1"/>
    <col min="7" max="7" width="12.7109375" style="201" bestFit="1" customWidth="1"/>
    <col min="8" max="8" width="12.85546875" style="201" bestFit="1" customWidth="1"/>
    <col min="9" max="9" width="14.85546875" style="201" bestFit="1" customWidth="1"/>
    <col min="10" max="10" width="6.5703125" style="201" bestFit="1" customWidth="1"/>
    <col min="11" max="11" width="5.5703125" style="201" bestFit="1" customWidth="1"/>
    <col min="12" max="12" width="12.42578125" style="201" bestFit="1" customWidth="1"/>
    <col min="13" max="13" width="9.42578125" style="201" bestFit="1" customWidth="1"/>
    <col min="14" max="14" width="12.85546875" style="201" bestFit="1" customWidth="1"/>
    <col min="15" max="15" width="8" style="201" bestFit="1" customWidth="1"/>
    <col min="16" max="16" width="8.42578125" style="201" bestFit="1" customWidth="1"/>
    <col min="17" max="17" width="11.28515625" style="201" bestFit="1" customWidth="1"/>
    <col min="18" max="18" width="31.42578125" style="201" bestFit="1" customWidth="1"/>
    <col min="19" max="22" width="12.7109375" style="205" bestFit="1" customWidth="1"/>
    <col min="23" max="24" width="11.42578125" style="201" bestFit="1" customWidth="1"/>
    <col min="25" max="27" width="7" style="201" bestFit="1" customWidth="1"/>
    <col min="28" max="28" width="10.85546875" bestFit="1" customWidth="1"/>
    <col min="29" max="29" width="15.85546875" bestFit="1" customWidth="1"/>
    <col min="30" max="30" width="11.42578125" bestFit="1" customWidth="1"/>
    <col min="31" max="31" width="11.7109375" style="191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1" bestFit="1" customWidth="1"/>
    <col min="57" max="57" width="10.85546875" style="191" bestFit="1" customWidth="1"/>
    <col min="58" max="58" width="15.85546875" bestFit="1" customWidth="1"/>
    <col min="59" max="59" width="27.28515625" style="201" bestFit="1" customWidth="1"/>
    <col min="60" max="60" width="6.5703125" style="201" bestFit="1" customWidth="1"/>
    <col min="61" max="61" width="9.5703125" style="201" bestFit="1" customWidth="1"/>
    <col min="62" max="64" width="11.5703125" style="201" bestFit="1" customWidth="1"/>
    <col min="65" max="65" width="7" style="201" bestFit="1" customWidth="1"/>
    <col min="66" max="66" width="11" style="201" bestFit="1" customWidth="1"/>
    <col min="67" max="67" width="8.85546875" style="201" bestFit="1" customWidth="1"/>
    <col min="68" max="69" width="10.7109375" style="201" bestFit="1" customWidth="1"/>
    <col min="70" max="70" width="11.42578125" style="201" bestFit="1" customWidth="1"/>
    <col min="71" max="71" width="11.85546875" style="201" bestFit="1" customWidth="1"/>
    <col min="72" max="72" width="6.42578125" style="201" bestFit="1" customWidth="1"/>
    <col min="73" max="73" width="6.42578125" style="204" bestFit="1" customWidth="1"/>
    <col min="74" max="74" width="6.42578125" style="201" bestFit="1" customWidth="1"/>
    <col min="75" max="75" width="10.7109375" style="201" bestFit="1" customWidth="1"/>
    <col min="76" max="76" width="11.140625" style="204" bestFit="1" customWidth="1"/>
    <col min="77" max="77" width="12.140625" style="204" bestFit="1" customWidth="1"/>
    <col min="78" max="78" width="12" style="201" bestFit="1" customWidth="1"/>
    <col min="79" max="79" width="12.140625" style="201" bestFit="1" customWidth="1"/>
    <col min="80" max="80" width="10.42578125" style="201" bestFit="1" customWidth="1"/>
    <col min="81" max="81" width="6" style="201" bestFit="1" customWidth="1"/>
    <col min="82" max="82" width="5.85546875" style="201" bestFit="1" customWidth="1"/>
    <col min="83" max="83" width="6.28515625" style="201" bestFit="1" customWidth="1"/>
    <col min="84" max="84" width="7.28515625" style="201" bestFit="1" customWidth="1"/>
    <col min="85" max="85" width="8.7109375" style="201" bestFit="1" customWidth="1"/>
    <col min="86" max="86" width="7.7109375" style="201" bestFit="1" customWidth="1"/>
    <col min="87" max="87" width="14.28515625" style="201" bestFit="1" customWidth="1"/>
    <col min="88" max="88" width="10.42578125" style="201" bestFit="1" customWidth="1"/>
    <col min="89" max="89" width="27.28515625" style="201" bestFit="1" customWidth="1"/>
    <col min="90" max="90" width="11.5703125" style="201" bestFit="1" customWidth="1"/>
    <col min="91" max="91" width="11.5703125" style="204" bestFit="1" customWidth="1"/>
    <col min="92" max="93" width="11.5703125" style="201" bestFit="1" customWidth="1"/>
    <col min="94" max="95" width="10.7109375" style="201" bestFit="1" customWidth="1"/>
    <col min="96" max="98" width="6.42578125" style="201" bestFit="1" customWidth="1"/>
    <col min="99" max="99" width="8.7109375" style="201" bestFit="1" customWidth="1"/>
    <col min="100" max="100" width="14.28515625" style="201" bestFit="1" customWidth="1"/>
    <col min="101" max="101" width="10.7109375" style="201"/>
    <col min="102" max="102" width="11.140625" style="201" bestFit="1" customWidth="1"/>
    <col min="103" max="103" width="7" style="201" bestFit="1" customWidth="1"/>
    <col min="104" max="104" width="11" style="201" bestFit="1" customWidth="1"/>
    <col min="105" max="105" width="7" style="201" bestFit="1" customWidth="1"/>
    <col min="106" max="106" width="12.140625" style="201" bestFit="1" customWidth="1"/>
    <col min="107" max="107" width="12" style="201" bestFit="1" customWidth="1"/>
    <col min="108" max="108" width="12.140625" style="201" bestFit="1" customWidth="1"/>
    <col min="109" max="109" width="6" style="201" bestFit="1" customWidth="1"/>
    <col min="110" max="110" width="5.85546875" style="201" bestFit="1" customWidth="1"/>
    <col min="111" max="111" width="6.28515625" style="201" bestFit="1" customWidth="1"/>
    <col min="112" max="112" width="11.42578125" style="201" bestFit="1" customWidth="1"/>
    <col min="113" max="113" width="8.85546875" style="201" bestFit="1" customWidth="1"/>
    <col min="114" max="114" width="11.85546875" style="201" bestFit="1" customWidth="1"/>
    <col min="115" max="115" width="7.28515625" style="201" bestFit="1" customWidth="1"/>
    <col min="116" max="116" width="7.7109375" style="201" bestFit="1" customWidth="1"/>
    <col min="117" max="117" width="10.42578125" style="201" bestFit="1" customWidth="1"/>
    <col min="118" max="118" width="27.28515625" style="201" bestFit="1" customWidth="1"/>
    <col min="119" max="122" width="12" style="201" bestFit="1" customWidth="1"/>
    <col min="123" max="124" width="10.7109375" style="201"/>
    <col min="125" max="127" width="6.42578125" style="201" bestFit="1" customWidth="1"/>
    <col min="128" max="128" width="8.7109375" style="201" bestFit="1" customWidth="1"/>
    <col min="129" max="129" width="14.28515625" style="201" bestFit="1" customWidth="1"/>
    <col min="130" max="130" width="10.7109375" style="201"/>
    <col min="131" max="131" width="11.140625" style="201" bestFit="1" customWidth="1"/>
    <col min="132" max="132" width="7" style="201" bestFit="1" customWidth="1"/>
    <col min="133" max="133" width="11" style="201" bestFit="1" customWidth="1"/>
    <col min="134" max="134" width="7" style="201" bestFit="1" customWidth="1"/>
    <col min="135" max="135" width="12.140625" style="201" bestFit="1" customWidth="1"/>
    <col min="136" max="136" width="12" style="201" bestFit="1" customWidth="1"/>
    <col min="137" max="137" width="12.140625" style="201" bestFit="1" customWidth="1"/>
    <col min="138" max="138" width="6" style="201" bestFit="1" customWidth="1"/>
    <col min="139" max="139" width="5.85546875" style="201" bestFit="1" customWidth="1"/>
    <col min="140" max="140" width="6.28515625" style="201" bestFit="1" customWidth="1"/>
    <col min="141" max="141" width="11.42578125" style="201" bestFit="1" customWidth="1"/>
    <col min="142" max="142" width="8.85546875" style="201" bestFit="1" customWidth="1"/>
    <col min="143" max="143" width="11.85546875" style="201" bestFit="1" customWidth="1"/>
    <col min="144" max="144" width="7.28515625" style="201" bestFit="1" customWidth="1"/>
    <col min="145" max="145" width="7.7109375" style="201" bestFit="1" customWidth="1"/>
    <col min="146" max="146" width="10.42578125" style="201" bestFit="1" customWidth="1"/>
    <col min="147" max="147" width="27.28515625" style="201" bestFit="1" customWidth="1"/>
    <col min="148" max="151" width="12" style="201" bestFit="1" customWidth="1"/>
    <col min="152" max="153" width="10.7109375" style="201"/>
    <col min="154" max="156" width="6.42578125" style="201" bestFit="1" customWidth="1"/>
    <col min="157" max="157" width="8.7109375" style="201" bestFit="1" customWidth="1"/>
    <col min="158" max="158" width="14.28515625" style="201" bestFit="1" customWidth="1"/>
    <col min="159" max="159" width="10.7109375" style="201"/>
    <col min="160" max="160" width="11.140625" style="201" bestFit="1" customWidth="1"/>
    <col min="161" max="161" width="7" style="201" bestFit="1" customWidth="1"/>
    <col min="162" max="162" width="11" style="201" bestFit="1" customWidth="1"/>
    <col min="163" max="163" width="7" style="201" bestFit="1" customWidth="1"/>
    <col min="164" max="164" width="12.140625" style="201" bestFit="1" customWidth="1"/>
    <col min="165" max="165" width="12" style="201" bestFit="1" customWidth="1"/>
    <col min="166" max="166" width="12.140625" style="201" bestFit="1" customWidth="1"/>
    <col min="167" max="167" width="6" style="201" bestFit="1" customWidth="1"/>
    <col min="168" max="168" width="5.85546875" style="201" bestFit="1" customWidth="1"/>
    <col min="169" max="169" width="6.28515625" style="201" bestFit="1" customWidth="1"/>
    <col min="170" max="170" width="11.42578125" style="201" bestFit="1" customWidth="1"/>
    <col min="171" max="171" width="8.85546875" style="201" bestFit="1" customWidth="1"/>
    <col min="172" max="172" width="11.85546875" style="201" bestFit="1" customWidth="1"/>
    <col min="173" max="173" width="7.28515625" style="201" bestFit="1" customWidth="1"/>
    <col min="174" max="174" width="7.7109375" style="201" bestFit="1" customWidth="1"/>
    <col min="175" max="175" width="10.42578125" style="201" bestFit="1" customWidth="1"/>
    <col min="176" max="176" width="27.28515625" style="201" bestFit="1" customWidth="1"/>
    <col min="177" max="180" width="12" style="201" bestFit="1" customWidth="1"/>
    <col min="181" max="182" width="10.7109375" style="201"/>
    <col min="183" max="185" width="6.42578125" style="201" bestFit="1" customWidth="1"/>
    <col min="186" max="186" width="7.42578125" style="201" bestFit="1" customWidth="1"/>
    <col min="187" max="187" width="11.140625" style="201" bestFit="1" customWidth="1"/>
    <col min="188" max="188" width="10.7109375" style="201"/>
    <col min="189" max="189" width="11.140625" style="201" bestFit="1" customWidth="1"/>
    <col min="190" max="190" width="7" style="201" bestFit="1" customWidth="1"/>
    <col min="191" max="191" width="11" style="201" bestFit="1" customWidth="1"/>
    <col min="192" max="192" width="7" style="201" bestFit="1" customWidth="1"/>
    <col min="193" max="193" width="12.140625" style="201" bestFit="1" customWidth="1"/>
    <col min="194" max="194" width="12" style="201" bestFit="1" customWidth="1"/>
    <col min="195" max="195" width="12.140625" style="201" bestFit="1" customWidth="1"/>
    <col min="196" max="196" width="6" style="201" bestFit="1" customWidth="1"/>
    <col min="197" max="197" width="5.85546875" style="201" bestFit="1" customWidth="1"/>
    <col min="198" max="198" width="6.28515625" style="201" bestFit="1" customWidth="1"/>
    <col min="199" max="199" width="11.42578125" style="201" bestFit="1" customWidth="1"/>
    <col min="200" max="200" width="8.85546875" style="201" bestFit="1" customWidth="1"/>
    <col min="201" max="201" width="11.85546875" style="201" bestFit="1" customWidth="1"/>
    <col min="202" max="202" width="7.28515625" style="201" bestFit="1" customWidth="1"/>
    <col min="203" max="203" width="7.7109375" style="201" bestFit="1" customWidth="1"/>
    <col min="204" max="204" width="10.42578125" style="201" bestFit="1" customWidth="1"/>
    <col min="205" max="205" width="27.28515625" style="201" bestFit="1" customWidth="1"/>
    <col min="206" max="209" width="12" style="201" bestFit="1" customWidth="1"/>
    <col min="210" max="211" width="10.7109375" style="201"/>
    <col min="212" max="214" width="6.42578125" style="201" bestFit="1" customWidth="1"/>
    <col min="215" max="215" width="7.42578125" style="201" bestFit="1" customWidth="1"/>
    <col min="216" max="216" width="11.140625" style="201" bestFit="1" customWidth="1"/>
    <col min="217" max="217" width="27.28515625" style="201" bestFit="1" customWidth="1"/>
    <col min="218" max="218" width="7" style="201" customWidth="1"/>
    <col min="219" max="222" width="12" style="201" bestFit="1" customWidth="1"/>
    <col min="223" max="223" width="7" style="201" customWidth="1"/>
    <col min="224" max="224" width="11" style="201" bestFit="1" customWidth="1"/>
    <col min="225" max="225" width="8.85546875" style="201" customWidth="1"/>
    <col min="226" max="227" width="10.7109375" style="201"/>
    <col min="228" max="228" width="11.42578125" style="201" bestFit="1" customWidth="1"/>
    <col min="229" max="229" width="11.85546875" style="201" bestFit="1" customWidth="1"/>
    <col min="230" max="232" width="6.42578125" style="201" customWidth="1"/>
    <col min="233" max="233" width="10.7109375" style="201"/>
    <col min="234" max="234" width="11.140625" style="201" bestFit="1" customWidth="1"/>
    <col min="235" max="235" width="12.140625" style="201" bestFit="1" customWidth="1"/>
    <col min="236" max="236" width="12" style="201" bestFit="1" customWidth="1"/>
    <col min="237" max="237" width="12.140625" style="201" bestFit="1" customWidth="1"/>
    <col min="238" max="238" width="10.42578125" style="201" customWidth="1"/>
    <col min="239" max="239" width="6" style="201" customWidth="1"/>
    <col min="240" max="240" width="5.85546875" style="201" customWidth="1"/>
    <col min="241" max="241" width="6.28515625" style="201" customWidth="1"/>
    <col min="242" max="242" width="7.28515625" style="201" customWidth="1"/>
    <col min="243" max="243" width="7.42578125" style="201" customWidth="1"/>
    <col min="244" max="244" width="7.7109375" style="201" customWidth="1"/>
    <col min="245" max="245" width="11.140625" style="201" bestFit="1" customWidth="1"/>
    <col min="246" max="246" width="11.7109375" style="201" bestFit="1" customWidth="1"/>
    <col min="247" max="247" width="11.85546875" style="201" bestFit="1" customWidth="1"/>
    <col min="248" max="248" width="7.5703125" style="201" bestFit="1" customWidth="1"/>
    <col min="249" max="249" width="12" style="201" bestFit="1" customWidth="1"/>
    <col min="250" max="250" width="7" style="201" bestFit="1" customWidth="1"/>
    <col min="251" max="251" width="12.85546875" style="201" bestFit="1" customWidth="1"/>
    <col min="252" max="253" width="13.28515625" style="201" bestFit="1" customWidth="1"/>
    <col min="254" max="254" width="6.42578125" style="201" bestFit="1" customWidth="1"/>
    <col min="255" max="255" width="6.28515625" style="201" bestFit="1" customWidth="1"/>
    <col min="256" max="256" width="6.42578125" style="201" bestFit="1" customWidth="1"/>
    <col min="257" max="257" width="12.140625" style="201" bestFit="1" customWidth="1"/>
    <col min="258" max="258" width="9.5703125" style="201" bestFit="1" customWidth="1"/>
    <col min="259" max="259" width="12.5703125" style="201" bestFit="1" customWidth="1"/>
    <col min="260" max="260" width="7.7109375" style="201" bestFit="1" customWidth="1"/>
    <col min="261" max="261" width="7.85546875" style="201" bestFit="1" customWidth="1"/>
    <col min="262" max="262" width="11.5703125" style="201" bestFit="1" customWidth="1"/>
    <col min="263" max="263" width="27.28515625" style="201" bestFit="1" customWidth="1"/>
    <col min="264" max="267" width="12" style="201" bestFit="1" customWidth="1"/>
    <col min="268" max="268" width="12.140625" style="201" bestFit="1" customWidth="1"/>
    <col min="269" max="269" width="11.5703125" style="201" bestFit="1" customWidth="1"/>
    <col min="270" max="272" width="7.140625" style="201" bestFit="1" customWidth="1"/>
    <col min="273" max="273" width="7.85546875" style="201" bestFit="1" customWidth="1"/>
    <col min="274" max="274" width="11.140625" style="201" bestFit="1" customWidth="1"/>
    <col min="275" max="276" width="10.7109375" style="201"/>
    <col min="277" max="277" width="14.140625" style="201" bestFit="1" customWidth="1"/>
    <col min="278" max="278" width="12.28515625" style="201" bestFit="1" customWidth="1"/>
    <col min="279" max="279" width="10.7109375" style="201"/>
    <col min="280" max="280" width="10.28515625" style="201" customWidth="1"/>
    <col min="281" max="16384" width="10.7109375" style="201"/>
  </cols>
  <sheetData>
    <row r="1" spans="1:282" ht="15" x14ac:dyDescent="0.2">
      <c r="A1" s="219" t="s">
        <v>161</v>
      </c>
      <c r="B1" s="219" t="s">
        <v>162</v>
      </c>
      <c r="C1" s="205" t="s">
        <v>152</v>
      </c>
      <c r="D1" s="205" t="s">
        <v>79</v>
      </c>
      <c r="E1" s="191" t="s">
        <v>147</v>
      </c>
      <c r="F1" s="205" t="s">
        <v>163</v>
      </c>
      <c r="G1" s="205" t="s">
        <v>164</v>
      </c>
      <c r="H1" s="205" t="s">
        <v>165</v>
      </c>
      <c r="I1" s="205" t="s">
        <v>167</v>
      </c>
      <c r="J1" s="205" t="s">
        <v>333</v>
      </c>
      <c r="K1" s="205" t="s">
        <v>334</v>
      </c>
      <c r="L1" s="205" t="s">
        <v>156</v>
      </c>
      <c r="M1" s="205" t="s">
        <v>153</v>
      </c>
      <c r="N1" s="205" t="s">
        <v>157</v>
      </c>
      <c r="O1" s="191" t="s">
        <v>168</v>
      </c>
      <c r="P1" s="191" t="s">
        <v>170</v>
      </c>
      <c r="Q1" s="205" t="s">
        <v>166</v>
      </c>
      <c r="R1" s="205" t="s">
        <v>146</v>
      </c>
      <c r="S1" s="205" t="s">
        <v>148</v>
      </c>
      <c r="T1" s="205" t="s">
        <v>149</v>
      </c>
      <c r="U1" s="205" t="s">
        <v>150</v>
      </c>
      <c r="V1" s="205" t="s">
        <v>151</v>
      </c>
      <c r="W1" s="205" t="s">
        <v>154</v>
      </c>
      <c r="X1" s="205" t="s">
        <v>155</v>
      </c>
      <c r="Y1" s="205" t="s">
        <v>158</v>
      </c>
      <c r="Z1" s="205" t="s">
        <v>159</v>
      </c>
      <c r="AA1" s="205" t="s">
        <v>160</v>
      </c>
      <c r="AB1" s="205" t="s">
        <v>169</v>
      </c>
      <c r="AC1" s="205" t="s">
        <v>171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0"/>
      <c r="BH1" s="200"/>
      <c r="BI1" s="200"/>
      <c r="BJ1" s="200"/>
      <c r="BK1" s="200"/>
      <c r="BL1" s="200"/>
      <c r="BM1" s="200"/>
      <c r="BN1" s="200"/>
      <c r="BO1" s="200"/>
      <c r="BP1" s="200"/>
      <c r="BQ1" s="200"/>
      <c r="BR1" s="200"/>
      <c r="BS1" s="200"/>
      <c r="BT1" s="200"/>
      <c r="BU1" s="200"/>
      <c r="BV1" s="200"/>
      <c r="BW1" s="200"/>
      <c r="BX1" s="200"/>
      <c r="BY1" s="200"/>
      <c r="BZ1" s="200"/>
      <c r="CA1" s="200"/>
      <c r="CB1" s="200"/>
      <c r="CC1" s="200"/>
      <c r="CD1" s="200"/>
      <c r="CE1" s="200"/>
      <c r="CF1" s="200"/>
      <c r="CG1" s="200"/>
      <c r="CH1" s="200"/>
      <c r="CI1" s="200"/>
      <c r="CJ1" s="200"/>
      <c r="CK1" s="200"/>
      <c r="CL1" s="200"/>
      <c r="CM1" s="200"/>
      <c r="CN1" s="200"/>
      <c r="CO1" s="200"/>
      <c r="CP1" s="200"/>
      <c r="CQ1" s="200"/>
      <c r="CR1" s="200"/>
      <c r="CS1" s="200"/>
      <c r="CT1" s="200"/>
      <c r="CU1" s="200"/>
      <c r="CV1" s="200"/>
      <c r="IL1" s="202"/>
      <c r="IM1" s="202"/>
      <c r="IP1" s="203"/>
      <c r="IQ1" s="203"/>
      <c r="IR1" s="202"/>
      <c r="IS1" s="202"/>
      <c r="IT1" s="202"/>
      <c r="IW1" s="203"/>
      <c r="IY1" s="203"/>
      <c r="JB1" s="202"/>
      <c r="JC1" s="202"/>
      <c r="JD1" s="202"/>
      <c r="JE1" s="202"/>
      <c r="JF1" s="203"/>
      <c r="JG1" s="203"/>
      <c r="JI1" s="203"/>
      <c r="JJ1" s="202"/>
      <c r="JK1" s="202"/>
      <c r="JL1" s="202"/>
      <c r="JN1" s="202"/>
      <c r="JQ1" s="202"/>
      <c r="JR1" s="202"/>
      <c r="JV1" s="202"/>
    </row>
    <row r="2" spans="1:282" x14ac:dyDescent="0.2">
      <c r="A2" s="219">
        <v>1</v>
      </c>
      <c r="B2" s="219">
        <v>0</v>
      </c>
      <c r="C2" s="205" t="s">
        <v>335</v>
      </c>
      <c r="D2" s="205" t="s">
        <v>336</v>
      </c>
      <c r="E2" s="191">
        <v>66.27</v>
      </c>
      <c r="F2" s="205"/>
      <c r="G2" s="205"/>
      <c r="H2" s="205"/>
      <c r="I2" s="205" t="s">
        <v>337</v>
      </c>
      <c r="J2">
        <v>4483</v>
      </c>
      <c r="K2">
        <v>462</v>
      </c>
      <c r="L2" s="205"/>
      <c r="M2" s="205"/>
      <c r="N2" s="205"/>
      <c r="O2" s="191">
        <v>23.11</v>
      </c>
      <c r="P2" s="191">
        <v>20.54</v>
      </c>
      <c r="Q2" s="205" t="s">
        <v>338</v>
      </c>
      <c r="R2" s="205" t="s">
        <v>339</v>
      </c>
      <c r="S2" s="205">
        <v>792816.86849999998</v>
      </c>
      <c r="T2" s="205">
        <v>2187814.0490000001</v>
      </c>
      <c r="U2" s="205">
        <v>792879.74120000005</v>
      </c>
      <c r="V2" s="205">
        <v>2187793.0920000002</v>
      </c>
      <c r="W2" s="205"/>
      <c r="X2" s="205"/>
      <c r="Y2" s="205"/>
      <c r="Z2" s="205"/>
      <c r="AA2" s="205"/>
      <c r="AB2" s="205" t="s">
        <v>336</v>
      </c>
      <c r="AC2" s="205" t="s">
        <v>338</v>
      </c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>
        <v>0</v>
      </c>
      <c r="B3" s="219">
        <v>0</v>
      </c>
      <c r="C3" s="205" t="s">
        <v>335</v>
      </c>
      <c r="D3" s="205" t="s">
        <v>338</v>
      </c>
      <c r="E3" s="191">
        <v>57.66</v>
      </c>
      <c r="F3" s="205" t="s">
        <v>336</v>
      </c>
      <c r="G3" s="205"/>
      <c r="H3" s="205"/>
      <c r="I3" s="205"/>
      <c r="J3" s="205"/>
      <c r="K3" s="205"/>
      <c r="L3" s="205"/>
      <c r="M3" s="205"/>
      <c r="N3" s="205"/>
      <c r="O3" s="191">
        <v>20.54</v>
      </c>
      <c r="P3" s="191">
        <v>18.86</v>
      </c>
      <c r="Q3" s="205" t="s">
        <v>340</v>
      </c>
      <c r="R3" s="205" t="s">
        <v>341</v>
      </c>
      <c r="S3" s="205">
        <v>792879.74120000005</v>
      </c>
      <c r="T3" s="205">
        <v>2187793.0920000002</v>
      </c>
      <c r="U3" s="205">
        <v>792934.45380000002</v>
      </c>
      <c r="V3" s="205">
        <v>2187774.9040000001</v>
      </c>
      <c r="W3" s="205"/>
      <c r="X3" s="205"/>
      <c r="Y3" s="205"/>
      <c r="Z3" s="205"/>
      <c r="AA3" s="205"/>
      <c r="AB3" s="205" t="s">
        <v>338</v>
      </c>
      <c r="AC3" s="205" t="s">
        <v>340</v>
      </c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0"/>
      <c r="BJ3" s="200"/>
      <c r="BK3" s="200"/>
      <c r="BL3" s="200"/>
      <c r="BM3" s="200"/>
      <c r="BN3" s="200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00"/>
      <c r="CE3" s="200"/>
      <c r="CF3" s="200"/>
      <c r="CG3" s="200"/>
      <c r="CH3" s="200"/>
      <c r="CI3" s="200"/>
      <c r="CJ3" s="200"/>
      <c r="CK3" s="200"/>
      <c r="CL3" s="200"/>
      <c r="CM3" s="200"/>
      <c r="CN3" s="200"/>
      <c r="CO3" s="200"/>
      <c r="CP3" s="200"/>
      <c r="CQ3" s="200"/>
      <c r="CR3" s="200"/>
      <c r="CS3" s="200"/>
      <c r="CT3" s="200"/>
      <c r="CU3" s="200"/>
      <c r="CV3" s="200"/>
    </row>
    <row r="4" spans="1:282" x14ac:dyDescent="0.2">
      <c r="A4" s="219">
        <v>0</v>
      </c>
      <c r="B4" s="219">
        <v>0</v>
      </c>
      <c r="C4" s="205" t="s">
        <v>335</v>
      </c>
      <c r="D4" s="205" t="s">
        <v>340</v>
      </c>
      <c r="E4" s="191">
        <v>45.82</v>
      </c>
      <c r="F4" s="205" t="s">
        <v>338</v>
      </c>
      <c r="G4" s="205"/>
      <c r="H4" s="205"/>
      <c r="I4" s="205"/>
      <c r="J4"/>
      <c r="K4"/>
      <c r="L4" s="205"/>
      <c r="M4" s="205"/>
      <c r="N4" s="205"/>
      <c r="O4" s="191">
        <v>18.86</v>
      </c>
      <c r="P4" s="191">
        <v>17.89</v>
      </c>
      <c r="Q4" s="205" t="s">
        <v>342</v>
      </c>
      <c r="R4" s="205" t="s">
        <v>343</v>
      </c>
      <c r="S4" s="205">
        <v>792934.45380000002</v>
      </c>
      <c r="T4" s="205">
        <v>2187774.9040000001</v>
      </c>
      <c r="U4" s="205">
        <v>792977.87450000003</v>
      </c>
      <c r="V4" s="205">
        <v>2187760.27</v>
      </c>
      <c r="W4" s="205"/>
      <c r="X4" s="205"/>
      <c r="Y4" s="205"/>
      <c r="Z4" s="205"/>
      <c r="AA4" s="205"/>
      <c r="AB4" s="205" t="s">
        <v>340</v>
      </c>
      <c r="AC4" s="205" t="s">
        <v>342</v>
      </c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>
        <v>0</v>
      </c>
      <c r="B5" s="219">
        <v>0</v>
      </c>
      <c r="C5" s="205" t="s">
        <v>335</v>
      </c>
      <c r="D5" s="205" t="s">
        <v>342</v>
      </c>
      <c r="E5" s="191">
        <v>48.09</v>
      </c>
      <c r="F5" s="205" t="s">
        <v>340</v>
      </c>
      <c r="G5" s="205" t="s">
        <v>344</v>
      </c>
      <c r="H5" s="205"/>
      <c r="I5" s="205"/>
      <c r="J5"/>
      <c r="K5"/>
      <c r="L5" s="205"/>
      <c r="M5" s="205"/>
      <c r="N5" s="205"/>
      <c r="O5" s="191">
        <v>17.89</v>
      </c>
      <c r="P5" s="191">
        <v>16.32</v>
      </c>
      <c r="Q5" s="205" t="s">
        <v>345</v>
      </c>
      <c r="R5" s="205" t="s">
        <v>346</v>
      </c>
      <c r="S5" s="205">
        <v>792977.87450000003</v>
      </c>
      <c r="T5" s="205">
        <v>2187760.27</v>
      </c>
      <c r="U5" s="205">
        <v>793023.37289999996</v>
      </c>
      <c r="V5" s="205">
        <v>2187744.702</v>
      </c>
      <c r="W5" s="205"/>
      <c r="X5" s="205"/>
      <c r="Y5" s="205"/>
      <c r="Z5" s="205"/>
      <c r="AA5" s="205"/>
      <c r="AB5" s="205" t="s">
        <v>342</v>
      </c>
      <c r="AC5" s="205" t="s">
        <v>345</v>
      </c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>
        <v>0</v>
      </c>
      <c r="B6" s="219">
        <v>0</v>
      </c>
      <c r="C6" s="205" t="s">
        <v>335</v>
      </c>
      <c r="D6" s="205" t="s">
        <v>345</v>
      </c>
      <c r="E6" s="191">
        <v>49.52</v>
      </c>
      <c r="F6" s="205" t="s">
        <v>342</v>
      </c>
      <c r="G6" s="205"/>
      <c r="H6" s="205"/>
      <c r="I6" s="205"/>
      <c r="J6"/>
      <c r="K6"/>
      <c r="L6" s="205"/>
      <c r="M6" s="205"/>
      <c r="N6" s="205"/>
      <c r="O6" s="191">
        <v>16.32</v>
      </c>
      <c r="P6" s="191">
        <v>14.88</v>
      </c>
      <c r="Q6" s="205" t="s">
        <v>347</v>
      </c>
      <c r="R6" s="205" t="s">
        <v>348</v>
      </c>
      <c r="S6" s="205">
        <v>793023.37289999996</v>
      </c>
      <c r="T6" s="205">
        <v>2187744.702</v>
      </c>
      <c r="U6" s="205">
        <v>793070.28659999999</v>
      </c>
      <c r="V6" s="205">
        <v>2187728.8640000001</v>
      </c>
      <c r="W6" s="205"/>
      <c r="X6" s="205"/>
      <c r="Y6" s="205"/>
      <c r="Z6" s="205"/>
      <c r="AA6" s="205"/>
      <c r="AB6" s="205" t="s">
        <v>345</v>
      </c>
      <c r="AC6" s="205" t="s">
        <v>347</v>
      </c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>
        <v>0</v>
      </c>
      <c r="B7" s="219">
        <v>0</v>
      </c>
      <c r="C7" s="205" t="s">
        <v>335</v>
      </c>
      <c r="D7" s="205" t="s">
        <v>347</v>
      </c>
      <c r="E7" s="191">
        <v>47.84</v>
      </c>
      <c r="F7" s="205" t="s">
        <v>345</v>
      </c>
      <c r="G7" s="205" t="s">
        <v>349</v>
      </c>
      <c r="H7" s="205"/>
      <c r="I7" s="205"/>
      <c r="J7"/>
      <c r="K7"/>
      <c r="L7" s="205"/>
      <c r="M7" s="205"/>
      <c r="N7" s="205"/>
      <c r="O7" s="191">
        <v>14.88</v>
      </c>
      <c r="P7" s="191">
        <v>13.7</v>
      </c>
      <c r="Q7" s="205" t="s">
        <v>350</v>
      </c>
      <c r="R7" s="205" t="s">
        <v>351</v>
      </c>
      <c r="S7" s="205">
        <v>793070.28659999999</v>
      </c>
      <c r="T7" s="205">
        <v>2187728.8640000001</v>
      </c>
      <c r="U7" s="205">
        <v>793115.62150000001</v>
      </c>
      <c r="V7" s="205">
        <v>2187713.571</v>
      </c>
      <c r="W7" s="205"/>
      <c r="X7" s="205"/>
      <c r="Y7" s="205"/>
      <c r="Z7" s="205"/>
      <c r="AA7" s="205"/>
      <c r="AB7" s="205" t="s">
        <v>347</v>
      </c>
      <c r="AC7" s="205" t="s">
        <v>350</v>
      </c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>
        <v>0</v>
      </c>
      <c r="B8" s="219">
        <v>0</v>
      </c>
      <c r="C8" s="205" t="s">
        <v>335</v>
      </c>
      <c r="D8" s="205" t="s">
        <v>350</v>
      </c>
      <c r="E8" s="191">
        <v>50.3</v>
      </c>
      <c r="F8" s="205" t="s">
        <v>347</v>
      </c>
      <c r="G8" s="205"/>
      <c r="H8" s="205"/>
      <c r="I8" s="205"/>
      <c r="J8"/>
      <c r="K8"/>
      <c r="L8" s="205"/>
      <c r="M8" s="205"/>
      <c r="N8" s="205"/>
      <c r="O8" s="191">
        <v>13.7</v>
      </c>
      <c r="P8" s="191">
        <v>12.86</v>
      </c>
      <c r="Q8" s="205" t="s">
        <v>352</v>
      </c>
      <c r="R8" s="205" t="s">
        <v>353</v>
      </c>
      <c r="S8" s="205">
        <v>793115.62150000001</v>
      </c>
      <c r="T8" s="205">
        <v>2187713.571</v>
      </c>
      <c r="U8" s="205">
        <v>793163.02989999996</v>
      </c>
      <c r="V8" s="205">
        <v>2187696.7650000001</v>
      </c>
      <c r="W8" s="205"/>
      <c r="X8" s="205"/>
      <c r="Y8" s="205"/>
      <c r="Z8" s="205"/>
      <c r="AA8" s="205"/>
      <c r="AB8" s="205" t="s">
        <v>350</v>
      </c>
      <c r="AC8" s="205" t="s">
        <v>352</v>
      </c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>
        <v>0</v>
      </c>
      <c r="B9" s="219">
        <v>0</v>
      </c>
      <c r="C9" s="205" t="s">
        <v>335</v>
      </c>
      <c r="D9" s="205" t="s">
        <v>352</v>
      </c>
      <c r="E9" s="191">
        <v>5.71</v>
      </c>
      <c r="F9" s="205" t="s">
        <v>350</v>
      </c>
      <c r="G9" s="205"/>
      <c r="H9" s="205"/>
      <c r="I9" s="205"/>
      <c r="J9"/>
      <c r="K9"/>
      <c r="L9" s="205"/>
      <c r="M9" s="205"/>
      <c r="N9" s="205"/>
      <c r="O9" s="191">
        <v>12.86</v>
      </c>
      <c r="P9" s="191">
        <v>12.7</v>
      </c>
      <c r="Q9" s="205" t="s">
        <v>354</v>
      </c>
      <c r="R9" s="205" t="s">
        <v>355</v>
      </c>
      <c r="S9" s="205">
        <v>793163.02989999996</v>
      </c>
      <c r="T9" s="205">
        <v>2187696.7650000001</v>
      </c>
      <c r="U9" s="205">
        <v>793168.20909999998</v>
      </c>
      <c r="V9" s="205">
        <v>2187694.3560000001</v>
      </c>
      <c r="W9" s="205"/>
      <c r="X9" s="205"/>
      <c r="Y9" s="205"/>
      <c r="Z9" s="205"/>
      <c r="AA9" s="205"/>
      <c r="AB9" s="205" t="s">
        <v>352</v>
      </c>
      <c r="AC9" s="205" t="s">
        <v>354</v>
      </c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>
        <v>0</v>
      </c>
      <c r="B10" s="219">
        <v>0</v>
      </c>
      <c r="C10" s="205" t="s">
        <v>335</v>
      </c>
      <c r="D10" s="205" t="s">
        <v>354</v>
      </c>
      <c r="E10" s="191">
        <v>48.92</v>
      </c>
      <c r="F10" s="205" t="s">
        <v>352</v>
      </c>
      <c r="G10" s="205"/>
      <c r="H10" s="205"/>
      <c r="I10" s="205"/>
      <c r="J10"/>
      <c r="K10"/>
      <c r="L10" s="205"/>
      <c r="M10" s="205"/>
      <c r="N10" s="205"/>
      <c r="O10" s="191">
        <v>12.7</v>
      </c>
      <c r="P10" s="191">
        <v>11.73</v>
      </c>
      <c r="Q10" s="205" t="s">
        <v>356</v>
      </c>
      <c r="R10" s="205" t="s">
        <v>357</v>
      </c>
      <c r="S10" s="205">
        <v>793168.20909999998</v>
      </c>
      <c r="T10" s="205">
        <v>2187694.3560000001</v>
      </c>
      <c r="U10" s="205">
        <v>793214.49789999996</v>
      </c>
      <c r="V10" s="205">
        <v>2187678.5290000001</v>
      </c>
      <c r="W10" s="205"/>
      <c r="X10" s="205"/>
      <c r="Y10" s="205"/>
      <c r="Z10" s="205"/>
      <c r="AA10" s="205"/>
      <c r="AB10" s="205" t="s">
        <v>354</v>
      </c>
      <c r="AC10" s="205" t="s">
        <v>356</v>
      </c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>
        <v>0</v>
      </c>
      <c r="B11" s="219">
        <v>0</v>
      </c>
      <c r="C11" s="205" t="s">
        <v>335</v>
      </c>
      <c r="D11" s="205" t="s">
        <v>356</v>
      </c>
      <c r="E11" s="191">
        <v>46.14</v>
      </c>
      <c r="F11" s="205" t="s">
        <v>354</v>
      </c>
      <c r="G11" s="205"/>
      <c r="H11" s="205"/>
      <c r="I11" s="205"/>
      <c r="J11"/>
      <c r="K11"/>
      <c r="L11" s="205"/>
      <c r="M11" s="205"/>
      <c r="N11" s="205"/>
      <c r="O11" s="191">
        <v>11.73</v>
      </c>
      <c r="P11" s="191">
        <v>10.73</v>
      </c>
      <c r="Q11" s="205" t="s">
        <v>358</v>
      </c>
      <c r="R11" s="205" t="s">
        <v>359</v>
      </c>
      <c r="S11" s="205">
        <v>793214.49789999996</v>
      </c>
      <c r="T11" s="205">
        <v>2187678.5290000001</v>
      </c>
      <c r="U11" s="205">
        <v>793258.00150000001</v>
      </c>
      <c r="V11" s="205">
        <v>2187663.1609999998</v>
      </c>
      <c r="W11" s="205"/>
      <c r="X11" s="205"/>
      <c r="Y11" s="205"/>
      <c r="Z11" s="205"/>
      <c r="AA11" s="205"/>
      <c r="AB11" s="205" t="s">
        <v>356</v>
      </c>
      <c r="AC11" s="205" t="s">
        <v>358</v>
      </c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>
        <v>0</v>
      </c>
      <c r="B12" s="219">
        <v>0</v>
      </c>
      <c r="C12" s="205" t="s">
        <v>335</v>
      </c>
      <c r="D12" s="205" t="s">
        <v>358</v>
      </c>
      <c r="E12" s="191">
        <v>48.52</v>
      </c>
      <c r="F12" s="205" t="s">
        <v>356</v>
      </c>
      <c r="G12" s="205"/>
      <c r="H12" s="205"/>
      <c r="I12" s="205"/>
      <c r="J12"/>
      <c r="K12"/>
      <c r="L12" s="205"/>
      <c r="M12" s="205"/>
      <c r="N12" s="205"/>
      <c r="O12" s="191">
        <v>10.73</v>
      </c>
      <c r="P12" s="191">
        <v>9.36</v>
      </c>
      <c r="Q12" s="205" t="s">
        <v>360</v>
      </c>
      <c r="R12" s="205" t="s">
        <v>361</v>
      </c>
      <c r="S12" s="205">
        <v>793258.00150000001</v>
      </c>
      <c r="T12" s="205">
        <v>2187663.1609999998</v>
      </c>
      <c r="U12" s="205">
        <v>793303.65049999999</v>
      </c>
      <c r="V12" s="205">
        <v>2187646.7200000002</v>
      </c>
      <c r="W12" s="205"/>
      <c r="X12" s="205"/>
      <c r="Y12" s="205"/>
      <c r="Z12" s="205"/>
      <c r="AA12" s="205"/>
      <c r="AB12" s="205" t="s">
        <v>358</v>
      </c>
      <c r="AC12" s="205" t="s">
        <v>360</v>
      </c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>
        <v>0</v>
      </c>
      <c r="B13" s="219">
        <v>0</v>
      </c>
      <c r="C13" s="205" t="s">
        <v>335</v>
      </c>
      <c r="D13" s="205" t="s">
        <v>360</v>
      </c>
      <c r="E13" s="191">
        <v>42.66</v>
      </c>
      <c r="F13" s="205" t="s">
        <v>358</v>
      </c>
      <c r="G13" s="205"/>
      <c r="H13" s="205"/>
      <c r="I13" s="205"/>
      <c r="J13"/>
      <c r="K13"/>
      <c r="L13" s="205"/>
      <c r="M13" s="205"/>
      <c r="N13" s="205"/>
      <c r="O13" s="191">
        <v>9.36</v>
      </c>
      <c r="P13" s="191">
        <v>8.2899999999999991</v>
      </c>
      <c r="Q13" s="205" t="s">
        <v>362</v>
      </c>
      <c r="R13" s="205" t="s">
        <v>363</v>
      </c>
      <c r="S13" s="205">
        <v>793303.65049999999</v>
      </c>
      <c r="T13" s="205">
        <v>2187646.7200000002</v>
      </c>
      <c r="U13" s="205">
        <v>793343.48800000001</v>
      </c>
      <c r="V13" s="205">
        <v>2187631.4530000002</v>
      </c>
      <c r="W13" s="205"/>
      <c r="X13" s="205"/>
      <c r="Y13" s="205"/>
      <c r="Z13" s="205"/>
      <c r="AA13" s="205"/>
      <c r="AB13" s="205" t="s">
        <v>360</v>
      </c>
      <c r="AC13" s="205" t="s">
        <v>362</v>
      </c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>
        <v>0</v>
      </c>
      <c r="B14" s="219">
        <v>0</v>
      </c>
      <c r="C14" s="205" t="s">
        <v>335</v>
      </c>
      <c r="D14" s="205" t="s">
        <v>362</v>
      </c>
      <c r="E14" s="191">
        <v>6.44</v>
      </c>
      <c r="F14" s="205" t="s">
        <v>360</v>
      </c>
      <c r="G14" s="205"/>
      <c r="H14" s="205"/>
      <c r="I14" s="205"/>
      <c r="J14"/>
      <c r="K14"/>
      <c r="L14" s="205"/>
      <c r="M14" s="205"/>
      <c r="N14" s="205"/>
      <c r="O14" s="191">
        <v>8.2899999999999991</v>
      </c>
      <c r="P14" s="191">
        <v>8.19</v>
      </c>
      <c r="Q14" s="205" t="s">
        <v>364</v>
      </c>
      <c r="R14" s="205" t="s">
        <v>365</v>
      </c>
      <c r="S14" s="205">
        <v>793343.48800000001</v>
      </c>
      <c r="T14" s="205">
        <v>2187631.4530000002</v>
      </c>
      <c r="U14" s="205">
        <v>793348.93810000003</v>
      </c>
      <c r="V14" s="205">
        <v>2187634.8859999999</v>
      </c>
      <c r="W14" s="205"/>
      <c r="X14" s="205"/>
      <c r="Y14" s="205"/>
      <c r="Z14" s="205"/>
      <c r="AA14" s="205"/>
      <c r="AB14" s="205" t="s">
        <v>362</v>
      </c>
      <c r="AC14" s="205" t="s">
        <v>364</v>
      </c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>
        <v>0</v>
      </c>
      <c r="B15" s="219">
        <v>0</v>
      </c>
      <c r="C15" s="205" t="s">
        <v>335</v>
      </c>
      <c r="D15" s="205" t="s">
        <v>364</v>
      </c>
      <c r="E15" s="191">
        <v>45.85</v>
      </c>
      <c r="F15" s="205" t="s">
        <v>362</v>
      </c>
      <c r="G15" s="205"/>
      <c r="H15" s="205"/>
      <c r="I15" s="205"/>
      <c r="J15" s="205"/>
      <c r="K15" s="205"/>
      <c r="L15" s="205"/>
      <c r="M15" s="205"/>
      <c r="N15" s="205"/>
      <c r="O15" s="191">
        <v>8.19</v>
      </c>
      <c r="P15" s="191">
        <v>6.21</v>
      </c>
      <c r="Q15" s="205" t="s">
        <v>366</v>
      </c>
      <c r="R15" s="205" t="s">
        <v>367</v>
      </c>
      <c r="S15" s="205">
        <v>793348.93810000003</v>
      </c>
      <c r="T15" s="205">
        <v>2187634.8859999999</v>
      </c>
      <c r="U15" s="205">
        <v>793392.02769999998</v>
      </c>
      <c r="V15" s="205">
        <v>2187619.2280000001</v>
      </c>
      <c r="W15" s="205"/>
      <c r="X15" s="205"/>
      <c r="Y15" s="205"/>
      <c r="Z15" s="205"/>
      <c r="AA15" s="205"/>
      <c r="AB15" s="205" t="s">
        <v>364</v>
      </c>
      <c r="AC15" s="205" t="s">
        <v>366</v>
      </c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0"/>
      <c r="BH15" s="200"/>
      <c r="BJ15" s="200"/>
      <c r="BK15" s="200"/>
      <c r="BL15" s="200"/>
      <c r="BM15" s="200"/>
      <c r="BN15" s="200"/>
      <c r="BO15" s="200"/>
      <c r="BP15" s="200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  <c r="CI15" s="200"/>
      <c r="CJ15" s="200"/>
      <c r="CK15" s="200"/>
      <c r="CL15" s="200"/>
      <c r="CM15" s="200"/>
      <c r="CN15" s="200"/>
      <c r="CO15" s="200"/>
      <c r="CP15" s="200"/>
      <c r="CQ15" s="200"/>
      <c r="CR15" s="200"/>
      <c r="CS15" s="200"/>
      <c r="CT15" s="200"/>
      <c r="CU15" s="200"/>
      <c r="CV15" s="200"/>
    </row>
    <row r="16" spans="1:282" x14ac:dyDescent="0.2">
      <c r="A16" s="219">
        <v>0</v>
      </c>
      <c r="B16" s="219">
        <v>0</v>
      </c>
      <c r="C16" s="205" t="s">
        <v>335</v>
      </c>
      <c r="D16" s="205" t="s">
        <v>366</v>
      </c>
      <c r="E16" s="191">
        <v>47.39</v>
      </c>
      <c r="F16" s="205" t="s">
        <v>364</v>
      </c>
      <c r="G16" s="205"/>
      <c r="H16" s="205"/>
      <c r="I16" s="205"/>
      <c r="J16"/>
      <c r="K16"/>
      <c r="L16" s="205"/>
      <c r="M16" s="205"/>
      <c r="N16" s="205"/>
      <c r="O16" s="191">
        <v>6.21</v>
      </c>
      <c r="P16" s="191">
        <v>4.4400000000000004</v>
      </c>
      <c r="Q16" s="205" t="s">
        <v>368</v>
      </c>
      <c r="R16" s="205" t="s">
        <v>369</v>
      </c>
      <c r="S16" s="205">
        <v>793392.02769999998</v>
      </c>
      <c r="T16" s="205">
        <v>2187619.2280000001</v>
      </c>
      <c r="U16" s="205">
        <v>793436.95400000003</v>
      </c>
      <c r="V16" s="205">
        <v>2187604.142</v>
      </c>
      <c r="W16" s="205"/>
      <c r="X16" s="205"/>
      <c r="Y16" s="205"/>
      <c r="Z16" s="205"/>
      <c r="AA16" s="205"/>
      <c r="AB16" s="205" t="s">
        <v>366</v>
      </c>
      <c r="AC16" s="205" t="s">
        <v>368</v>
      </c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>
        <v>0</v>
      </c>
      <c r="B17" s="219">
        <v>0</v>
      </c>
      <c r="C17" s="205" t="s">
        <v>335</v>
      </c>
      <c r="D17" s="205" t="s">
        <v>368</v>
      </c>
      <c r="E17" s="191">
        <v>49.04</v>
      </c>
      <c r="F17" s="205" t="s">
        <v>366</v>
      </c>
      <c r="G17" s="205"/>
      <c r="H17" s="205"/>
      <c r="I17" s="205"/>
      <c r="J17"/>
      <c r="K17"/>
      <c r="L17" s="205"/>
      <c r="M17" s="205"/>
      <c r="N17" s="205"/>
      <c r="O17" s="191">
        <v>4.4400000000000004</v>
      </c>
      <c r="P17" s="191">
        <v>3.53</v>
      </c>
      <c r="Q17" s="205" t="s">
        <v>370</v>
      </c>
      <c r="R17" s="205" t="s">
        <v>371</v>
      </c>
      <c r="S17" s="205">
        <v>793436.95400000003</v>
      </c>
      <c r="T17" s="205">
        <v>2187604.142</v>
      </c>
      <c r="U17" s="205">
        <v>793482.73840000003</v>
      </c>
      <c r="V17" s="205">
        <v>2187586.5720000002</v>
      </c>
      <c r="W17" s="205"/>
      <c r="X17" s="205"/>
      <c r="Y17" s="205"/>
      <c r="Z17" s="205"/>
      <c r="AA17" s="205"/>
      <c r="AB17" s="205" t="s">
        <v>368</v>
      </c>
      <c r="AC17" s="205" t="s">
        <v>370</v>
      </c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>
        <v>0</v>
      </c>
      <c r="B18" s="219">
        <v>0</v>
      </c>
      <c r="C18" s="205" t="s">
        <v>335</v>
      </c>
      <c r="D18" s="205" t="s">
        <v>370</v>
      </c>
      <c r="E18" s="191">
        <v>50.4</v>
      </c>
      <c r="F18" s="205" t="s">
        <v>368</v>
      </c>
      <c r="G18" s="205"/>
      <c r="H18" s="205"/>
      <c r="I18" s="205"/>
      <c r="J18"/>
      <c r="K18"/>
      <c r="L18" s="205"/>
      <c r="M18" s="205"/>
      <c r="N18" s="205"/>
      <c r="O18" s="191">
        <v>3.53</v>
      </c>
      <c r="P18" s="191">
        <v>2.69</v>
      </c>
      <c r="Q18" s="205" t="s">
        <v>372</v>
      </c>
      <c r="R18" s="205" t="s">
        <v>373</v>
      </c>
      <c r="S18" s="205">
        <v>793482.73840000003</v>
      </c>
      <c r="T18" s="205">
        <v>2187586.5720000002</v>
      </c>
      <c r="U18" s="205">
        <v>793529.81770000001</v>
      </c>
      <c r="V18" s="205">
        <v>2187568.58</v>
      </c>
      <c r="W18" s="205"/>
      <c r="X18" s="205"/>
      <c r="Y18" s="205"/>
      <c r="Z18" s="205"/>
      <c r="AA18" s="205"/>
      <c r="AB18" s="205" t="s">
        <v>370</v>
      </c>
      <c r="AC18" s="205" t="s">
        <v>372</v>
      </c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>
        <v>0</v>
      </c>
      <c r="B19" s="219">
        <v>0</v>
      </c>
      <c r="C19" s="205" t="s">
        <v>335</v>
      </c>
      <c r="D19" s="205" t="s">
        <v>372</v>
      </c>
      <c r="E19" s="191">
        <v>51.92</v>
      </c>
      <c r="F19" s="205" t="s">
        <v>370</v>
      </c>
      <c r="G19" s="205"/>
      <c r="H19" s="205"/>
      <c r="I19" s="205"/>
      <c r="J19"/>
      <c r="K19"/>
      <c r="L19" s="205"/>
      <c r="M19" s="205"/>
      <c r="N19" s="205"/>
      <c r="O19" s="191">
        <v>2.69</v>
      </c>
      <c r="P19" s="191">
        <v>1.94</v>
      </c>
      <c r="Q19" s="205" t="s">
        <v>374</v>
      </c>
      <c r="R19" s="205" t="s">
        <v>375</v>
      </c>
      <c r="S19" s="205">
        <v>793529.81770000001</v>
      </c>
      <c r="T19" s="205">
        <v>2187568.58</v>
      </c>
      <c r="U19" s="205">
        <v>793578.52300000004</v>
      </c>
      <c r="V19" s="205">
        <v>2187550.5890000002</v>
      </c>
      <c r="W19" s="205"/>
      <c r="X19" s="205"/>
      <c r="Y19" s="205"/>
      <c r="Z19" s="205"/>
      <c r="AA19" s="205"/>
      <c r="AB19" s="205" t="s">
        <v>372</v>
      </c>
      <c r="AC19" s="205" t="s">
        <v>374</v>
      </c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>
        <v>0</v>
      </c>
      <c r="B20" s="219">
        <v>0</v>
      </c>
      <c r="C20" s="205" t="s">
        <v>335</v>
      </c>
      <c r="D20" s="205" t="s">
        <v>374</v>
      </c>
      <c r="E20" s="191">
        <v>34.49</v>
      </c>
      <c r="F20" s="205" t="s">
        <v>372</v>
      </c>
      <c r="G20" s="205"/>
      <c r="H20" s="205"/>
      <c r="I20" s="205"/>
      <c r="J20"/>
      <c r="K20"/>
      <c r="L20" s="205"/>
      <c r="M20" s="205"/>
      <c r="N20" s="205"/>
      <c r="O20" s="191">
        <v>1.94</v>
      </c>
      <c r="P20" s="191">
        <v>1.23</v>
      </c>
      <c r="Q20" s="205" t="s">
        <v>376</v>
      </c>
      <c r="R20" s="205" t="s">
        <v>377</v>
      </c>
      <c r="S20" s="205">
        <v>793578.52300000004</v>
      </c>
      <c r="T20" s="205">
        <v>2187550.5890000002</v>
      </c>
      <c r="U20" s="205">
        <v>793610.86270000006</v>
      </c>
      <c r="V20" s="205">
        <v>2187538.6039999998</v>
      </c>
      <c r="W20" s="205"/>
      <c r="X20" s="205"/>
      <c r="Y20" s="205"/>
      <c r="Z20" s="205"/>
      <c r="AA20" s="205"/>
      <c r="AB20" s="205" t="s">
        <v>374</v>
      </c>
      <c r="AC20" s="205" t="s">
        <v>376</v>
      </c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>
        <v>0</v>
      </c>
      <c r="B21" s="219">
        <v>0</v>
      </c>
      <c r="C21" s="205" t="s">
        <v>335</v>
      </c>
      <c r="D21" s="205" t="s">
        <v>376</v>
      </c>
      <c r="E21" s="191">
        <v>55.47</v>
      </c>
      <c r="F21" s="205" t="s">
        <v>374</v>
      </c>
      <c r="G21" s="205"/>
      <c r="H21" s="205"/>
      <c r="I21" s="205"/>
      <c r="J21"/>
      <c r="K21"/>
      <c r="L21" s="205"/>
      <c r="M21" s="205"/>
      <c r="N21" s="205"/>
      <c r="O21" s="191">
        <v>1.23</v>
      </c>
      <c r="P21" s="191">
        <v>1</v>
      </c>
      <c r="Q21" s="205" t="s">
        <v>378</v>
      </c>
      <c r="R21" s="205" t="s">
        <v>379</v>
      </c>
      <c r="S21" s="205">
        <v>793610.86270000006</v>
      </c>
      <c r="T21" s="205">
        <v>2187538.6039999998</v>
      </c>
      <c r="U21" s="205">
        <v>793662.71470000001</v>
      </c>
      <c r="V21" s="205">
        <v>2187518.912</v>
      </c>
      <c r="W21" s="205"/>
      <c r="X21" s="205"/>
      <c r="Y21" s="205"/>
      <c r="Z21" s="205"/>
      <c r="AA21" s="205"/>
      <c r="AB21" s="205" t="s">
        <v>376</v>
      </c>
      <c r="AC21" s="205" t="s">
        <v>378</v>
      </c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>
        <v>0</v>
      </c>
      <c r="B22" s="219">
        <v>0</v>
      </c>
      <c r="C22" s="205" t="s">
        <v>335</v>
      </c>
      <c r="D22" s="205" t="s">
        <v>378</v>
      </c>
      <c r="E22" s="191">
        <v>46.97</v>
      </c>
      <c r="F22" s="205" t="s">
        <v>376</v>
      </c>
      <c r="G22" s="205" t="s">
        <v>380</v>
      </c>
      <c r="H22" s="205"/>
      <c r="I22" s="205"/>
      <c r="J22" s="205"/>
      <c r="K22" s="205"/>
      <c r="L22" s="205"/>
      <c r="M22" s="205"/>
      <c r="N22" s="205"/>
      <c r="O22" s="191">
        <v>1</v>
      </c>
      <c r="P22" s="191">
        <v>1</v>
      </c>
      <c r="Q22" s="205" t="s">
        <v>381</v>
      </c>
      <c r="R22" s="205" t="s">
        <v>382</v>
      </c>
      <c r="S22" s="205">
        <v>793662.71470000001</v>
      </c>
      <c r="T22" s="205">
        <v>2187518.912</v>
      </c>
      <c r="U22" s="205">
        <v>793688.83640000003</v>
      </c>
      <c r="V22" s="205">
        <v>2187557.9509999999</v>
      </c>
      <c r="W22" s="205"/>
      <c r="X22" s="205"/>
      <c r="Y22" s="205"/>
      <c r="Z22" s="205"/>
      <c r="AA22" s="205"/>
      <c r="AB22" s="205" t="s">
        <v>378</v>
      </c>
      <c r="AC22" s="205" t="s">
        <v>381</v>
      </c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0"/>
      <c r="BJ22" s="200"/>
      <c r="BK22" s="200"/>
      <c r="BL22" s="200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200"/>
      <c r="CE22" s="200"/>
      <c r="CF22" s="200"/>
      <c r="CG22" s="200"/>
      <c r="CH22" s="200"/>
      <c r="CI22" s="200"/>
      <c r="CJ22" s="200"/>
      <c r="CK22" s="200"/>
      <c r="CL22" s="200"/>
      <c r="CM22" s="200"/>
      <c r="CN22" s="200"/>
      <c r="CO22" s="200"/>
      <c r="CP22" s="200"/>
      <c r="CQ22" s="200"/>
      <c r="CR22" s="200"/>
      <c r="CS22" s="200"/>
      <c r="CT22" s="200"/>
      <c r="CU22" s="200"/>
      <c r="CV22" s="200"/>
    </row>
    <row r="23" spans="1:100" x14ac:dyDescent="0.2">
      <c r="A23" s="219">
        <v>0</v>
      </c>
      <c r="B23" s="219">
        <v>0</v>
      </c>
      <c r="C23" s="205" t="s">
        <v>335</v>
      </c>
      <c r="D23" s="205" t="s">
        <v>381</v>
      </c>
      <c r="E23" s="191">
        <v>50.67</v>
      </c>
      <c r="F23" s="205" t="s">
        <v>378</v>
      </c>
      <c r="G23" s="205" t="s">
        <v>383</v>
      </c>
      <c r="H23" s="205"/>
      <c r="I23" s="205"/>
      <c r="J23"/>
      <c r="K23"/>
      <c r="L23" s="205"/>
      <c r="M23" s="205"/>
      <c r="N23" s="205"/>
      <c r="O23" s="191">
        <v>1</v>
      </c>
      <c r="P23" s="191">
        <v>1</v>
      </c>
      <c r="Q23" s="205" t="s">
        <v>384</v>
      </c>
      <c r="R23" s="205" t="s">
        <v>385</v>
      </c>
      <c r="S23" s="205">
        <v>793688.83640000003</v>
      </c>
      <c r="T23" s="205">
        <v>2187557.9509999999</v>
      </c>
      <c r="U23" s="205">
        <v>793718.1348</v>
      </c>
      <c r="V23" s="205">
        <v>2187599.2940000002</v>
      </c>
      <c r="W23" s="205"/>
      <c r="X23" s="205"/>
      <c r="Y23" s="205"/>
      <c r="Z23" s="205"/>
      <c r="AA23" s="205"/>
      <c r="AB23" s="205" t="s">
        <v>381</v>
      </c>
      <c r="AC23" s="205" t="s">
        <v>384</v>
      </c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>
        <v>0</v>
      </c>
      <c r="B24" s="219">
        <v>0</v>
      </c>
      <c r="C24" s="205" t="s">
        <v>335</v>
      </c>
      <c r="D24" s="205" t="s">
        <v>384</v>
      </c>
      <c r="E24" s="191">
        <v>60.54</v>
      </c>
      <c r="F24" s="205" t="s">
        <v>381</v>
      </c>
      <c r="G24" s="205" t="s">
        <v>386</v>
      </c>
      <c r="H24" s="205"/>
      <c r="I24" s="205"/>
      <c r="J24"/>
      <c r="K24"/>
      <c r="L24" s="205"/>
      <c r="M24" s="205"/>
      <c r="N24" s="205"/>
      <c r="O24" s="191">
        <v>1</v>
      </c>
      <c r="P24" s="191">
        <v>1</v>
      </c>
      <c r="Q24" s="205" t="s">
        <v>387</v>
      </c>
      <c r="R24" s="205" t="s">
        <v>388</v>
      </c>
      <c r="S24" s="205">
        <v>793718.1348</v>
      </c>
      <c r="T24" s="205">
        <v>2187599.2940000002</v>
      </c>
      <c r="U24" s="205">
        <v>793752.55229999998</v>
      </c>
      <c r="V24" s="205">
        <v>2187649.0989999999</v>
      </c>
      <c r="W24" s="205"/>
      <c r="X24" s="205"/>
      <c r="Y24" s="205"/>
      <c r="Z24" s="205"/>
      <c r="AA24" s="205"/>
      <c r="AB24" s="205" t="s">
        <v>384</v>
      </c>
      <c r="AC24" s="205" t="s">
        <v>387</v>
      </c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>
        <v>0</v>
      </c>
      <c r="B25" s="219">
        <v>0</v>
      </c>
      <c r="C25" s="205" t="s">
        <v>335</v>
      </c>
      <c r="D25" s="205" t="s">
        <v>387</v>
      </c>
      <c r="E25" s="191">
        <v>36.08</v>
      </c>
      <c r="F25" s="205" t="s">
        <v>384</v>
      </c>
      <c r="G25" s="205" t="s">
        <v>389</v>
      </c>
      <c r="H25" s="205" t="s">
        <v>390</v>
      </c>
      <c r="I25" s="205"/>
      <c r="J25"/>
      <c r="K25"/>
      <c r="L25" s="205"/>
      <c r="M25" s="205"/>
      <c r="N25" s="205"/>
      <c r="O25" s="191">
        <v>1</v>
      </c>
      <c r="P25" s="191">
        <v>1</v>
      </c>
      <c r="Q25" s="205" t="s">
        <v>391</v>
      </c>
      <c r="R25" s="205" t="s">
        <v>392</v>
      </c>
      <c r="S25" s="205">
        <v>793752.55229999998</v>
      </c>
      <c r="T25" s="205">
        <v>2187649.0989999999</v>
      </c>
      <c r="U25" s="205">
        <v>793786.57819999999</v>
      </c>
      <c r="V25" s="205">
        <v>2187637.0839999998</v>
      </c>
      <c r="W25" s="205"/>
      <c r="X25" s="205"/>
      <c r="Y25" s="205"/>
      <c r="Z25" s="205"/>
      <c r="AA25" s="205"/>
      <c r="AB25" s="205" t="s">
        <v>387</v>
      </c>
      <c r="AC25" s="205" t="s">
        <v>391</v>
      </c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>
        <v>0</v>
      </c>
      <c r="B26" s="219">
        <v>0</v>
      </c>
      <c r="C26" s="205" t="s">
        <v>335</v>
      </c>
      <c r="D26" s="205" t="s">
        <v>391</v>
      </c>
      <c r="E26" s="191">
        <v>32.21</v>
      </c>
      <c r="F26" s="205" t="s">
        <v>387</v>
      </c>
      <c r="G26" s="205"/>
      <c r="H26" s="205"/>
      <c r="I26" s="205"/>
      <c r="J26"/>
      <c r="K26"/>
      <c r="L26" s="205"/>
      <c r="M26" s="205"/>
      <c r="N26" s="205"/>
      <c r="O26" s="191">
        <v>1</v>
      </c>
      <c r="P26" s="191">
        <v>1</v>
      </c>
      <c r="Q26" s="205" t="s">
        <v>393</v>
      </c>
      <c r="R26" s="205" t="s">
        <v>394</v>
      </c>
      <c r="S26" s="205">
        <v>793786.57819999999</v>
      </c>
      <c r="T26" s="205">
        <v>2187637.0839999998</v>
      </c>
      <c r="U26" s="205">
        <v>793814.79269999999</v>
      </c>
      <c r="V26" s="205">
        <v>2187621.5469999998</v>
      </c>
      <c r="W26" s="205"/>
      <c r="X26" s="205"/>
      <c r="Y26" s="205"/>
      <c r="Z26" s="205"/>
      <c r="AA26" s="205"/>
      <c r="AB26" s="205" t="s">
        <v>391</v>
      </c>
      <c r="AC26" s="205" t="s">
        <v>393</v>
      </c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>
        <v>0</v>
      </c>
      <c r="B27" s="219">
        <v>0</v>
      </c>
      <c r="C27" s="205" t="s">
        <v>335</v>
      </c>
      <c r="D27" s="205" t="s">
        <v>393</v>
      </c>
      <c r="E27" s="191">
        <v>27.04</v>
      </c>
      <c r="F27" s="205" t="s">
        <v>391</v>
      </c>
      <c r="G27" s="205"/>
      <c r="H27" s="205"/>
      <c r="I27" s="205"/>
      <c r="J27"/>
      <c r="K27"/>
      <c r="L27" s="205"/>
      <c r="M27" s="205"/>
      <c r="N27" s="205"/>
      <c r="O27" s="191">
        <v>1</v>
      </c>
      <c r="P27" s="191">
        <v>0.86</v>
      </c>
      <c r="Q27" s="205" t="s">
        <v>395</v>
      </c>
      <c r="R27" s="205" t="s">
        <v>396</v>
      </c>
      <c r="S27" s="205">
        <v>793814.79269999999</v>
      </c>
      <c r="T27" s="205">
        <v>2187621.5469999998</v>
      </c>
      <c r="U27" s="205">
        <v>793839.60450000002</v>
      </c>
      <c r="V27" s="205">
        <v>2187610.7969999998</v>
      </c>
      <c r="W27" s="205"/>
      <c r="X27" s="205"/>
      <c r="Y27" s="205"/>
      <c r="Z27" s="205"/>
      <c r="AA27" s="205"/>
      <c r="AB27" s="205" t="s">
        <v>393</v>
      </c>
      <c r="AC27" s="205" t="s">
        <v>395</v>
      </c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>
        <v>0</v>
      </c>
      <c r="B28" s="219">
        <v>1</v>
      </c>
      <c r="C28" s="205" t="s">
        <v>335</v>
      </c>
      <c r="D28" s="205" t="s">
        <v>395</v>
      </c>
      <c r="E28" s="191">
        <v>18.7</v>
      </c>
      <c r="F28" s="205" t="s">
        <v>393</v>
      </c>
      <c r="G28" s="205" t="s">
        <v>397</v>
      </c>
      <c r="H28" s="205" t="s">
        <v>398</v>
      </c>
      <c r="I28" s="205"/>
      <c r="J28"/>
      <c r="K28"/>
      <c r="L28" s="205"/>
      <c r="M28" s="205"/>
      <c r="N28" s="205"/>
      <c r="O28" s="191">
        <v>0.86</v>
      </c>
      <c r="P28" s="191">
        <v>1.5</v>
      </c>
      <c r="Q28" s="205"/>
      <c r="R28" s="205" t="s">
        <v>399</v>
      </c>
      <c r="S28" s="205">
        <v>793839.60450000002</v>
      </c>
      <c r="T28" s="205">
        <v>2187610.7969999998</v>
      </c>
      <c r="U28" s="205">
        <v>793854.7807</v>
      </c>
      <c r="V28" s="205">
        <v>2187599.8659999999</v>
      </c>
      <c r="W28" s="205"/>
      <c r="X28" s="205"/>
      <c r="Y28" s="205"/>
      <c r="Z28" s="205"/>
      <c r="AA28" s="205"/>
      <c r="AB28" s="205" t="s">
        <v>395</v>
      </c>
      <c r="AC28" s="205" t="s">
        <v>400</v>
      </c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>
        <v>1</v>
      </c>
      <c r="B29" s="219">
        <v>1</v>
      </c>
      <c r="C29" s="205" t="s">
        <v>401</v>
      </c>
      <c r="D29" s="205" t="s">
        <v>402</v>
      </c>
      <c r="E29" s="191">
        <v>43.7</v>
      </c>
      <c r="F29" s="205"/>
      <c r="G29" s="205"/>
      <c r="H29" s="205"/>
      <c r="I29" s="205" t="s">
        <v>403</v>
      </c>
      <c r="J29" s="205">
        <v>779</v>
      </c>
      <c r="K29" s="205">
        <v>261</v>
      </c>
      <c r="L29" s="205"/>
      <c r="M29" s="205">
        <v>1</v>
      </c>
      <c r="N29" s="205"/>
      <c r="O29" s="191">
        <v>4.28</v>
      </c>
      <c r="P29" s="191">
        <v>1.5</v>
      </c>
      <c r="Q29" s="205" t="s">
        <v>404</v>
      </c>
      <c r="R29" s="205" t="s">
        <v>405</v>
      </c>
      <c r="S29" s="205">
        <v>793661.25430000003</v>
      </c>
      <c r="T29" s="205">
        <v>2187955.1060000001</v>
      </c>
      <c r="U29" s="205">
        <v>793704.50939999998</v>
      </c>
      <c r="V29" s="205">
        <v>2187948.8730000001</v>
      </c>
      <c r="W29" s="205"/>
      <c r="X29" s="205"/>
      <c r="Y29" s="205"/>
      <c r="Z29" s="205"/>
      <c r="AA29" s="205"/>
      <c r="AB29" s="205" t="s">
        <v>402</v>
      </c>
      <c r="AC29" s="205" t="s">
        <v>404</v>
      </c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0"/>
      <c r="CL29" s="200"/>
      <c r="CM29" s="200"/>
      <c r="CN29" s="200"/>
      <c r="CO29" s="200"/>
      <c r="CP29" s="200"/>
      <c r="CQ29" s="200"/>
      <c r="CR29" s="200"/>
      <c r="CS29" s="200"/>
      <c r="CT29" s="200"/>
      <c r="CU29" s="200"/>
      <c r="CV29" s="200"/>
    </row>
    <row r="30" spans="1:100" x14ac:dyDescent="0.2">
      <c r="A30" s="219">
        <v>1</v>
      </c>
      <c r="B30" s="219">
        <v>1</v>
      </c>
      <c r="C30" s="205" t="s">
        <v>406</v>
      </c>
      <c r="D30" s="205" t="s">
        <v>407</v>
      </c>
      <c r="E30" s="191">
        <v>43.23</v>
      </c>
      <c r="F30" s="205"/>
      <c r="G30" s="205"/>
      <c r="H30" s="205"/>
      <c r="I30" s="205"/>
      <c r="J30" s="205"/>
      <c r="K30" s="205"/>
      <c r="L30" s="205"/>
      <c r="M30" s="205">
        <v>1</v>
      </c>
      <c r="N30" s="205"/>
      <c r="O30" s="191">
        <v>1.0900000000000001</v>
      </c>
      <c r="P30" s="191">
        <v>1</v>
      </c>
      <c r="Q30" s="205" t="s">
        <v>408</v>
      </c>
      <c r="R30" s="205" t="s">
        <v>409</v>
      </c>
      <c r="S30" s="205">
        <v>793700.54980000004</v>
      </c>
      <c r="T30" s="205">
        <v>2187890.818</v>
      </c>
      <c r="U30" s="205">
        <v>793743.54890000005</v>
      </c>
      <c r="V30" s="205">
        <v>2187886.392</v>
      </c>
      <c r="W30" s="205"/>
      <c r="X30" s="205"/>
      <c r="Y30" s="205"/>
      <c r="Z30" s="205"/>
      <c r="AA30" s="205"/>
      <c r="AB30" s="205" t="s">
        <v>407</v>
      </c>
      <c r="AC30" s="205" t="s">
        <v>408</v>
      </c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0"/>
      <c r="BJ30" s="200"/>
      <c r="BK30" s="200"/>
      <c r="BL30" s="200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0"/>
      <c r="BX30" s="200"/>
      <c r="BY30" s="200"/>
      <c r="BZ30" s="200"/>
      <c r="CA30" s="200"/>
      <c r="CB30" s="200"/>
      <c r="CC30" s="200"/>
      <c r="CD30" s="200"/>
      <c r="CE30" s="200"/>
      <c r="CF30" s="200"/>
      <c r="CG30" s="200"/>
      <c r="CH30" s="200"/>
      <c r="CI30" s="200"/>
      <c r="CJ30" s="200"/>
      <c r="CK30" s="200"/>
      <c r="CL30" s="200"/>
      <c r="CM30" s="200"/>
      <c r="CN30" s="200"/>
      <c r="CO30" s="200"/>
      <c r="CP30" s="200"/>
      <c r="CQ30" s="200"/>
      <c r="CR30" s="200"/>
      <c r="CS30" s="200"/>
      <c r="CT30" s="200"/>
      <c r="CU30" s="200"/>
      <c r="CV30" s="200"/>
    </row>
    <row r="31" spans="1:100" x14ac:dyDescent="0.2">
      <c r="A31" s="219">
        <v>1</v>
      </c>
      <c r="B31" s="219">
        <v>0</v>
      </c>
      <c r="C31" s="205" t="s">
        <v>410</v>
      </c>
      <c r="D31" s="205" t="s">
        <v>411</v>
      </c>
      <c r="E31" s="191">
        <v>13.04</v>
      </c>
      <c r="F31" s="205"/>
      <c r="G31" s="205"/>
      <c r="H31" s="205"/>
      <c r="I31" s="205"/>
      <c r="J31"/>
      <c r="K31"/>
      <c r="L31" s="205"/>
      <c r="M31" s="205"/>
      <c r="N31" s="205"/>
      <c r="O31" s="191">
        <v>1</v>
      </c>
      <c r="P31" s="191">
        <v>1</v>
      </c>
      <c r="Q31" s="205" t="s">
        <v>412</v>
      </c>
      <c r="R31" s="205" t="s">
        <v>413</v>
      </c>
      <c r="S31" s="205">
        <v>793786.82400000002</v>
      </c>
      <c r="T31" s="205">
        <v>2187847.148</v>
      </c>
      <c r="U31" s="205">
        <v>793785.99840000004</v>
      </c>
      <c r="V31" s="205">
        <v>2187834.1370000001</v>
      </c>
      <c r="W31" s="205"/>
      <c r="X31" s="205"/>
      <c r="Y31" s="205"/>
      <c r="Z31" s="205"/>
      <c r="AA31" s="205"/>
      <c r="AB31" s="205" t="s">
        <v>411</v>
      </c>
      <c r="AC31" s="205" t="s">
        <v>412</v>
      </c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>
        <v>0</v>
      </c>
      <c r="B32" s="219">
        <v>0</v>
      </c>
      <c r="C32" s="205" t="s">
        <v>410</v>
      </c>
      <c r="D32" s="205" t="s">
        <v>412</v>
      </c>
      <c r="E32" s="191">
        <v>54</v>
      </c>
      <c r="F32" s="205" t="s">
        <v>411</v>
      </c>
      <c r="G32" s="205"/>
      <c r="H32" s="205"/>
      <c r="I32" s="205"/>
      <c r="J32"/>
      <c r="K32"/>
      <c r="L32" s="205"/>
      <c r="M32" s="205"/>
      <c r="N32" s="205"/>
      <c r="O32" s="191">
        <v>1</v>
      </c>
      <c r="P32" s="191">
        <v>1.01</v>
      </c>
      <c r="Q32" s="205" t="s">
        <v>414</v>
      </c>
      <c r="R32" s="205" t="s">
        <v>415</v>
      </c>
      <c r="S32" s="205">
        <v>793785.99840000004</v>
      </c>
      <c r="T32" s="205">
        <v>2187834.1370000001</v>
      </c>
      <c r="U32" s="205">
        <v>793839.10199999996</v>
      </c>
      <c r="V32" s="205">
        <v>2187824.3590000002</v>
      </c>
      <c r="W32" s="205"/>
      <c r="X32" s="205"/>
      <c r="Y32" s="205"/>
      <c r="Z32" s="205"/>
      <c r="AA32" s="205"/>
      <c r="AB32" s="205" t="s">
        <v>412</v>
      </c>
      <c r="AC32" s="205" t="s">
        <v>414</v>
      </c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>
        <v>0</v>
      </c>
      <c r="B33" s="219">
        <v>1</v>
      </c>
      <c r="C33" s="205" t="s">
        <v>410</v>
      </c>
      <c r="D33" s="205" t="s">
        <v>414</v>
      </c>
      <c r="E33" s="191">
        <v>39.07</v>
      </c>
      <c r="F33" s="205" t="s">
        <v>412</v>
      </c>
      <c r="G33" s="205"/>
      <c r="H33" s="205"/>
      <c r="I33" s="205"/>
      <c r="J33"/>
      <c r="K33"/>
      <c r="L33" s="205"/>
      <c r="M33" s="205"/>
      <c r="N33" s="205"/>
      <c r="O33" s="191">
        <v>1.01</v>
      </c>
      <c r="P33" s="191">
        <v>1.31</v>
      </c>
      <c r="Q33" s="205" t="s">
        <v>416</v>
      </c>
      <c r="R33" s="205" t="s">
        <v>417</v>
      </c>
      <c r="S33" s="205">
        <v>793839.10199999996</v>
      </c>
      <c r="T33" s="205">
        <v>2187824.3590000002</v>
      </c>
      <c r="U33" s="205">
        <v>793877.65410000004</v>
      </c>
      <c r="V33" s="205">
        <v>2187818.0449999999</v>
      </c>
      <c r="W33" s="205"/>
      <c r="X33" s="205"/>
      <c r="Y33" s="205"/>
      <c r="Z33" s="205"/>
      <c r="AA33" s="205"/>
      <c r="AB33" s="205" t="s">
        <v>414</v>
      </c>
      <c r="AC33" s="205" t="s">
        <v>416</v>
      </c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>
        <v>1</v>
      </c>
      <c r="B34" s="219">
        <v>1</v>
      </c>
      <c r="C34" s="205" t="s">
        <v>418</v>
      </c>
      <c r="D34" s="205" t="s">
        <v>419</v>
      </c>
      <c r="E34" s="191">
        <v>48.16</v>
      </c>
      <c r="F34" s="205"/>
      <c r="G34" s="205"/>
      <c r="H34" s="205"/>
      <c r="I34" s="205"/>
      <c r="J34"/>
      <c r="K34"/>
      <c r="L34" s="205"/>
      <c r="M34" s="205"/>
      <c r="N34" s="205"/>
      <c r="O34" s="191">
        <v>1.22</v>
      </c>
      <c r="P34" s="191">
        <v>0.81</v>
      </c>
      <c r="Q34" s="205" t="s">
        <v>420</v>
      </c>
      <c r="R34" s="205" t="s">
        <v>421</v>
      </c>
      <c r="S34" s="205">
        <v>793868.24049999996</v>
      </c>
      <c r="T34" s="205">
        <v>2187915.69</v>
      </c>
      <c r="U34" s="205">
        <v>793846.80119999999</v>
      </c>
      <c r="V34" s="205">
        <v>2187872.571</v>
      </c>
      <c r="W34" s="205"/>
      <c r="X34" s="205"/>
      <c r="Y34" s="205"/>
      <c r="Z34" s="205"/>
      <c r="AA34" s="205"/>
      <c r="AB34" s="205" t="s">
        <v>419</v>
      </c>
      <c r="AC34" s="205" t="s">
        <v>420</v>
      </c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>
        <v>1</v>
      </c>
      <c r="B35" s="219">
        <v>0</v>
      </c>
      <c r="C35" s="205" t="s">
        <v>422</v>
      </c>
      <c r="D35" s="205" t="s">
        <v>423</v>
      </c>
      <c r="E35" s="191">
        <v>99.84</v>
      </c>
      <c r="F35" s="205"/>
      <c r="G35" s="205"/>
      <c r="H35" s="205"/>
      <c r="I35" s="205"/>
      <c r="J35"/>
      <c r="K35"/>
      <c r="L35" s="205"/>
      <c r="M35" s="205"/>
      <c r="N35" s="205"/>
      <c r="O35" s="191">
        <v>1.17</v>
      </c>
      <c r="P35" s="191">
        <v>1.1499999999999999</v>
      </c>
      <c r="Q35" s="205" t="s">
        <v>424</v>
      </c>
      <c r="R35" s="205" t="s">
        <v>425</v>
      </c>
      <c r="S35" s="205">
        <v>793702.59589999996</v>
      </c>
      <c r="T35" s="205">
        <v>2187392.6540000001</v>
      </c>
      <c r="U35" s="205">
        <v>793753.71140000003</v>
      </c>
      <c r="V35" s="205">
        <v>2187478.415</v>
      </c>
      <c r="W35" s="205"/>
      <c r="X35" s="205"/>
      <c r="Y35" s="205"/>
      <c r="Z35" s="205"/>
      <c r="AA35" s="205"/>
      <c r="AB35" s="205" t="s">
        <v>423</v>
      </c>
      <c r="AC35" s="205" t="s">
        <v>424</v>
      </c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>
        <v>0</v>
      </c>
      <c r="B36" s="219">
        <v>0</v>
      </c>
      <c r="C36" s="205" t="s">
        <v>422</v>
      </c>
      <c r="D36" s="205" t="s">
        <v>424</v>
      </c>
      <c r="E36" s="191">
        <v>99.97</v>
      </c>
      <c r="F36" s="205" t="s">
        <v>423</v>
      </c>
      <c r="G36" s="205"/>
      <c r="H36" s="205"/>
      <c r="I36" s="205"/>
      <c r="J36"/>
      <c r="K36"/>
      <c r="L36" s="205"/>
      <c r="M36" s="205"/>
      <c r="N36" s="205"/>
      <c r="O36" s="191">
        <v>1.1499999999999999</v>
      </c>
      <c r="P36" s="191">
        <v>1.1399999999999999</v>
      </c>
      <c r="Q36" s="205" t="s">
        <v>397</v>
      </c>
      <c r="R36" s="205" t="s">
        <v>426</v>
      </c>
      <c r="S36" s="205">
        <v>793753.71140000003</v>
      </c>
      <c r="T36" s="205">
        <v>2187478.415</v>
      </c>
      <c r="U36" s="205">
        <v>793807.38269999996</v>
      </c>
      <c r="V36" s="205">
        <v>2187562.7549999999</v>
      </c>
      <c r="W36" s="205"/>
      <c r="X36" s="205"/>
      <c r="Y36" s="205"/>
      <c r="Z36" s="205"/>
      <c r="AA36" s="205"/>
      <c r="AB36" s="205" t="s">
        <v>424</v>
      </c>
      <c r="AC36" s="205" t="s">
        <v>397</v>
      </c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>
        <v>0</v>
      </c>
      <c r="B37" s="219">
        <v>1</v>
      </c>
      <c r="C37" s="205" t="s">
        <v>422</v>
      </c>
      <c r="D37" s="205" t="s">
        <v>397</v>
      </c>
      <c r="E37" s="191">
        <v>57.85</v>
      </c>
      <c r="F37" s="205" t="s">
        <v>424</v>
      </c>
      <c r="G37" s="205"/>
      <c r="H37" s="205"/>
      <c r="I37" s="205"/>
      <c r="J37"/>
      <c r="K37"/>
      <c r="L37" s="205"/>
      <c r="M37" s="205"/>
      <c r="N37" s="205"/>
      <c r="O37" s="191">
        <v>1.1399999999999999</v>
      </c>
      <c r="P37" s="191">
        <v>0.86</v>
      </c>
      <c r="Q37" s="205" t="s">
        <v>395</v>
      </c>
      <c r="R37" s="205" t="s">
        <v>427</v>
      </c>
      <c r="S37" s="205">
        <v>793807.38269999996</v>
      </c>
      <c r="T37" s="205">
        <v>2187562.7549999999</v>
      </c>
      <c r="U37" s="205">
        <v>793839.60450000002</v>
      </c>
      <c r="V37" s="205">
        <v>2187610.7969999998</v>
      </c>
      <c r="W37" s="205"/>
      <c r="X37" s="205"/>
      <c r="Y37" s="205"/>
      <c r="Z37" s="205"/>
      <c r="AA37" s="205"/>
      <c r="AB37" s="205" t="s">
        <v>397</v>
      </c>
      <c r="AC37" s="205" t="s">
        <v>395</v>
      </c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>
        <v>1</v>
      </c>
      <c r="B38" s="219">
        <v>0</v>
      </c>
      <c r="C38" s="205" t="s">
        <v>428</v>
      </c>
      <c r="D38" s="205" t="s">
        <v>429</v>
      </c>
      <c r="E38" s="191">
        <v>47.61</v>
      </c>
      <c r="F38" s="205"/>
      <c r="G38" s="205"/>
      <c r="H38" s="205"/>
      <c r="I38" s="205"/>
      <c r="J38"/>
      <c r="K38"/>
      <c r="L38" s="205"/>
      <c r="M38" s="205"/>
      <c r="N38" s="205"/>
      <c r="O38" s="191">
        <v>1.49</v>
      </c>
      <c r="P38" s="191">
        <v>1.19</v>
      </c>
      <c r="Q38" s="205" t="s">
        <v>430</v>
      </c>
      <c r="R38" s="205" t="s">
        <v>431</v>
      </c>
      <c r="S38" s="205">
        <v>793947.13260000001</v>
      </c>
      <c r="T38" s="205">
        <v>2188120.0269999998</v>
      </c>
      <c r="U38" s="205">
        <v>793992.42020000005</v>
      </c>
      <c r="V38" s="205">
        <v>2188105.3319999999</v>
      </c>
      <c r="W38" s="205"/>
      <c r="X38" s="205"/>
      <c r="Y38" s="205"/>
      <c r="Z38" s="205"/>
      <c r="AA38" s="205"/>
      <c r="AB38" s="205" t="s">
        <v>429</v>
      </c>
      <c r="AC38" s="205" t="s">
        <v>430</v>
      </c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>
        <v>0</v>
      </c>
      <c r="B39" s="219">
        <v>0</v>
      </c>
      <c r="C39" s="205" t="s">
        <v>428</v>
      </c>
      <c r="D39" s="205" t="s">
        <v>430</v>
      </c>
      <c r="E39" s="191">
        <v>52.19</v>
      </c>
      <c r="F39" s="205" t="s">
        <v>429</v>
      </c>
      <c r="G39" s="205"/>
      <c r="H39" s="205"/>
      <c r="I39" s="205" t="s">
        <v>432</v>
      </c>
      <c r="J39">
        <v>265</v>
      </c>
      <c r="K39">
        <v>30</v>
      </c>
      <c r="L39" s="205"/>
      <c r="M39" s="205"/>
      <c r="N39" s="205"/>
      <c r="O39" s="191">
        <v>1.19</v>
      </c>
      <c r="P39" s="191">
        <v>1.24</v>
      </c>
      <c r="Q39" s="205" t="s">
        <v>433</v>
      </c>
      <c r="R39" s="205" t="s">
        <v>434</v>
      </c>
      <c r="S39" s="205">
        <v>793992.42020000005</v>
      </c>
      <c r="T39" s="205">
        <v>2188105.3319999999</v>
      </c>
      <c r="U39" s="205">
        <v>793964.47679999995</v>
      </c>
      <c r="V39" s="205">
        <v>2188061.2489999998</v>
      </c>
      <c r="W39" s="205"/>
      <c r="X39" s="205"/>
      <c r="Y39" s="205"/>
      <c r="Z39" s="205"/>
      <c r="AA39" s="205"/>
      <c r="AB39" s="205" t="s">
        <v>430</v>
      </c>
      <c r="AC39" s="205" t="s">
        <v>433</v>
      </c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>
        <v>0</v>
      </c>
      <c r="B40" s="219">
        <v>0</v>
      </c>
      <c r="C40" s="205" t="s">
        <v>428</v>
      </c>
      <c r="D40" s="205" t="s">
        <v>433</v>
      </c>
      <c r="E40" s="191">
        <v>95.75</v>
      </c>
      <c r="F40" s="205" t="s">
        <v>430</v>
      </c>
      <c r="G40" s="205"/>
      <c r="H40" s="205"/>
      <c r="I40" s="205"/>
      <c r="J40"/>
      <c r="K40"/>
      <c r="L40" s="205"/>
      <c r="M40" s="205"/>
      <c r="N40" s="205"/>
      <c r="O40" s="191">
        <v>1.24</v>
      </c>
      <c r="P40" s="191">
        <v>0.95</v>
      </c>
      <c r="Q40" s="205" t="s">
        <v>435</v>
      </c>
      <c r="R40" s="205" t="s">
        <v>436</v>
      </c>
      <c r="S40" s="205">
        <v>793964.47679999995</v>
      </c>
      <c r="T40" s="205">
        <v>2188061.2489999998</v>
      </c>
      <c r="U40" s="205">
        <v>793928.58389999997</v>
      </c>
      <c r="V40" s="205">
        <v>2187972.4810000001</v>
      </c>
      <c r="W40" s="205"/>
      <c r="X40" s="205"/>
      <c r="Y40" s="205"/>
      <c r="Z40" s="205"/>
      <c r="AA40" s="205"/>
      <c r="AB40" s="205" t="s">
        <v>433</v>
      </c>
      <c r="AC40" s="205" t="s">
        <v>435</v>
      </c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>
        <v>0</v>
      </c>
      <c r="B41" s="219">
        <v>0</v>
      </c>
      <c r="C41" s="205" t="s">
        <v>428</v>
      </c>
      <c r="D41" s="205" t="s">
        <v>435</v>
      </c>
      <c r="E41" s="191">
        <v>51.98</v>
      </c>
      <c r="F41" s="205" t="s">
        <v>433</v>
      </c>
      <c r="G41" s="205"/>
      <c r="H41" s="205"/>
      <c r="I41" s="205"/>
      <c r="J41"/>
      <c r="K41"/>
      <c r="L41" s="205"/>
      <c r="M41" s="205"/>
      <c r="N41" s="205"/>
      <c r="O41" s="191">
        <v>0.95</v>
      </c>
      <c r="P41" s="191">
        <v>1.1599999999999999</v>
      </c>
      <c r="Q41" s="205" t="s">
        <v>437</v>
      </c>
      <c r="R41" s="205" t="s">
        <v>438</v>
      </c>
      <c r="S41" s="205">
        <v>793928.58389999997</v>
      </c>
      <c r="T41" s="205">
        <v>2187972.4810000001</v>
      </c>
      <c r="U41" s="205">
        <v>793909.67390000005</v>
      </c>
      <c r="V41" s="205">
        <v>2187924.0610000002</v>
      </c>
      <c r="W41" s="205"/>
      <c r="X41" s="205"/>
      <c r="Y41" s="205"/>
      <c r="Z41" s="205"/>
      <c r="AA41" s="205"/>
      <c r="AB41" s="205" t="s">
        <v>435</v>
      </c>
      <c r="AC41" s="205" t="s">
        <v>437</v>
      </c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>
        <v>0</v>
      </c>
      <c r="B42" s="219">
        <v>0</v>
      </c>
      <c r="C42" s="205" t="s">
        <v>428</v>
      </c>
      <c r="D42" s="205" t="s">
        <v>437</v>
      </c>
      <c r="E42" s="191">
        <v>63.4</v>
      </c>
      <c r="F42" s="205" t="s">
        <v>435</v>
      </c>
      <c r="G42" s="205"/>
      <c r="H42" s="205"/>
      <c r="I42" s="205"/>
      <c r="J42"/>
      <c r="K42"/>
      <c r="L42" s="205"/>
      <c r="M42" s="205"/>
      <c r="N42" s="205"/>
      <c r="O42" s="191">
        <v>1.1599999999999999</v>
      </c>
      <c r="P42" s="191">
        <v>0.69</v>
      </c>
      <c r="Q42" s="205" t="s">
        <v>439</v>
      </c>
      <c r="R42" s="205" t="s">
        <v>440</v>
      </c>
      <c r="S42" s="205">
        <v>793909.67390000005</v>
      </c>
      <c r="T42" s="205">
        <v>2187924.0610000002</v>
      </c>
      <c r="U42" s="205">
        <v>793887.15049999999</v>
      </c>
      <c r="V42" s="205">
        <v>2187864.8020000001</v>
      </c>
      <c r="W42" s="205"/>
      <c r="X42" s="205"/>
      <c r="Y42" s="205"/>
      <c r="Z42" s="205"/>
      <c r="AA42" s="205"/>
      <c r="AB42" s="205" t="s">
        <v>437</v>
      </c>
      <c r="AC42" s="205" t="s">
        <v>439</v>
      </c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>
        <v>0</v>
      </c>
      <c r="B43" s="219">
        <v>0</v>
      </c>
      <c r="C43" s="205" t="s">
        <v>428</v>
      </c>
      <c r="D43" s="205" t="s">
        <v>439</v>
      </c>
      <c r="E43" s="191">
        <v>47.71</v>
      </c>
      <c r="F43" s="205" t="s">
        <v>437</v>
      </c>
      <c r="G43" s="205" t="s">
        <v>420</v>
      </c>
      <c r="H43" s="205"/>
      <c r="I43" s="205"/>
      <c r="J43"/>
      <c r="K43"/>
      <c r="L43" s="205"/>
      <c r="M43" s="205"/>
      <c r="N43" s="205"/>
      <c r="O43" s="191">
        <v>0.69</v>
      </c>
      <c r="P43" s="191">
        <v>1.31</v>
      </c>
      <c r="Q43" s="205" t="s">
        <v>416</v>
      </c>
      <c r="R43" s="205" t="s">
        <v>441</v>
      </c>
      <c r="S43" s="205">
        <v>793887.15049999999</v>
      </c>
      <c r="T43" s="205">
        <v>2187864.8020000001</v>
      </c>
      <c r="U43" s="205">
        <v>793877.65410000004</v>
      </c>
      <c r="V43" s="205">
        <v>2187818.0449999999</v>
      </c>
      <c r="W43" s="205"/>
      <c r="X43" s="205"/>
      <c r="Y43" s="205"/>
      <c r="Z43" s="205"/>
      <c r="AA43" s="205"/>
      <c r="AB43" s="205" t="s">
        <v>439</v>
      </c>
      <c r="AC43" s="205" t="s">
        <v>416</v>
      </c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>
        <v>0</v>
      </c>
      <c r="B44" s="219">
        <v>0</v>
      </c>
      <c r="C44" s="205" t="s">
        <v>428</v>
      </c>
      <c r="D44" s="205" t="s">
        <v>416</v>
      </c>
      <c r="E44" s="191">
        <v>52.65</v>
      </c>
      <c r="F44" s="205" t="s">
        <v>439</v>
      </c>
      <c r="G44" s="205" t="s">
        <v>414</v>
      </c>
      <c r="H44" s="205"/>
      <c r="I44" s="205"/>
      <c r="J44"/>
      <c r="K44"/>
      <c r="L44" s="205"/>
      <c r="M44" s="205"/>
      <c r="N44" s="205"/>
      <c r="O44" s="191">
        <v>1.31</v>
      </c>
      <c r="P44" s="191">
        <v>1.18</v>
      </c>
      <c r="Q44" s="205" t="s">
        <v>442</v>
      </c>
      <c r="R44" s="205" t="s">
        <v>443</v>
      </c>
      <c r="S44" s="205">
        <v>793877.65410000004</v>
      </c>
      <c r="T44" s="205">
        <v>2187818.0449999999</v>
      </c>
      <c r="U44" s="205">
        <v>793880.6422</v>
      </c>
      <c r="V44" s="205">
        <v>2187765.4810000001</v>
      </c>
      <c r="W44" s="205"/>
      <c r="X44" s="205"/>
      <c r="Y44" s="205"/>
      <c r="Z44" s="205"/>
      <c r="AA44" s="205"/>
      <c r="AB44" s="205" t="s">
        <v>416</v>
      </c>
      <c r="AC44" s="205" t="s">
        <v>442</v>
      </c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>
        <v>0</v>
      </c>
      <c r="B45" s="219">
        <v>0</v>
      </c>
      <c r="C45" s="205" t="s">
        <v>428</v>
      </c>
      <c r="D45" s="205" t="s">
        <v>442</v>
      </c>
      <c r="E45" s="191">
        <v>45.52</v>
      </c>
      <c r="F45" s="205" t="s">
        <v>416</v>
      </c>
      <c r="G45" s="205"/>
      <c r="H45" s="205"/>
      <c r="I45" s="205"/>
      <c r="J45"/>
      <c r="K45"/>
      <c r="L45" s="205"/>
      <c r="M45" s="205"/>
      <c r="N45" s="205"/>
      <c r="O45" s="191">
        <v>1.18</v>
      </c>
      <c r="P45" s="191">
        <v>1.5</v>
      </c>
      <c r="Q45" s="205" t="s">
        <v>444</v>
      </c>
      <c r="R45" s="205" t="s">
        <v>445</v>
      </c>
      <c r="S45" s="205">
        <v>793880.6422</v>
      </c>
      <c r="T45" s="205">
        <v>2187765.4810000001</v>
      </c>
      <c r="U45" s="205">
        <v>793879.91969999997</v>
      </c>
      <c r="V45" s="205">
        <v>2187719.9670000002</v>
      </c>
      <c r="W45" s="205"/>
      <c r="X45" s="205"/>
      <c r="Y45" s="205"/>
      <c r="Z45" s="205"/>
      <c r="AA45" s="205"/>
      <c r="AB45" s="205" t="s">
        <v>442</v>
      </c>
      <c r="AC45" s="205" t="s">
        <v>444</v>
      </c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>
        <v>0</v>
      </c>
      <c r="B46" s="219">
        <v>0</v>
      </c>
      <c r="C46" s="205" t="s">
        <v>428</v>
      </c>
      <c r="D46" s="205" t="s">
        <v>444</v>
      </c>
      <c r="E46" s="191">
        <v>9.06</v>
      </c>
      <c r="F46" s="205" t="s">
        <v>442</v>
      </c>
      <c r="G46" s="205"/>
      <c r="H46" s="205"/>
      <c r="I46" s="205"/>
      <c r="J46" s="205"/>
      <c r="K46" s="205"/>
      <c r="L46" s="205"/>
      <c r="M46" s="205"/>
      <c r="N46" s="205"/>
      <c r="O46" s="191">
        <v>1.5</v>
      </c>
      <c r="P46" s="191">
        <v>1.5</v>
      </c>
      <c r="Q46" s="205" t="s">
        <v>446</v>
      </c>
      <c r="R46" s="205" t="s">
        <v>447</v>
      </c>
      <c r="S46" s="205">
        <v>793879.91969999997</v>
      </c>
      <c r="T46" s="205">
        <v>2187719.9670000002</v>
      </c>
      <c r="U46" s="205">
        <v>793879.1973</v>
      </c>
      <c r="V46" s="205">
        <v>2187710.9369999999</v>
      </c>
      <c r="W46" s="205"/>
      <c r="X46" s="205"/>
      <c r="Y46" s="205"/>
      <c r="Z46" s="205"/>
      <c r="AA46" s="205"/>
      <c r="AB46" s="205" t="s">
        <v>444</v>
      </c>
      <c r="AC46" s="205" t="s">
        <v>446</v>
      </c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0"/>
      <c r="BX46" s="200"/>
      <c r="BY46" s="200"/>
      <c r="BZ46" s="200"/>
      <c r="CA46" s="200"/>
      <c r="CB46" s="200"/>
      <c r="CC46" s="200"/>
      <c r="CD46" s="200"/>
      <c r="CE46" s="200"/>
      <c r="CF46" s="200"/>
      <c r="CG46" s="200"/>
      <c r="CH46" s="200"/>
      <c r="CI46" s="200"/>
      <c r="CJ46" s="200"/>
      <c r="CK46" s="200"/>
      <c r="CL46" s="200"/>
      <c r="CM46" s="200"/>
      <c r="CN46" s="200"/>
      <c r="CO46" s="200"/>
      <c r="CP46" s="200"/>
      <c r="CQ46" s="200"/>
      <c r="CR46" s="200"/>
      <c r="CS46" s="200"/>
      <c r="CT46" s="200"/>
      <c r="CU46" s="200"/>
      <c r="CV46" s="200"/>
    </row>
    <row r="47" spans="1:100" x14ac:dyDescent="0.2">
      <c r="A47" s="219">
        <v>0</v>
      </c>
      <c r="B47" s="219">
        <v>0</v>
      </c>
      <c r="C47" s="205" t="s">
        <v>428</v>
      </c>
      <c r="D47" s="205" t="s">
        <v>446</v>
      </c>
      <c r="E47" s="191">
        <v>19.2</v>
      </c>
      <c r="F47" s="205" t="s">
        <v>444</v>
      </c>
      <c r="G47" s="205"/>
      <c r="H47" s="205"/>
      <c r="I47" s="205" t="s">
        <v>448</v>
      </c>
      <c r="J47" s="205">
        <v>0</v>
      </c>
      <c r="K47" s="205">
        <v>0</v>
      </c>
      <c r="L47" s="205"/>
      <c r="M47" s="205"/>
      <c r="N47" s="205"/>
      <c r="O47" s="191">
        <v>1.5</v>
      </c>
      <c r="P47" s="191">
        <v>1.5</v>
      </c>
      <c r="Q47" s="205" t="s">
        <v>449</v>
      </c>
      <c r="R47" s="205" t="s">
        <v>450</v>
      </c>
      <c r="S47" s="205">
        <v>793879.1973</v>
      </c>
      <c r="T47" s="205">
        <v>2187710.9369999999</v>
      </c>
      <c r="U47" s="205">
        <v>793877.7524</v>
      </c>
      <c r="V47" s="205">
        <v>2187691.7919999999</v>
      </c>
      <c r="W47" s="205"/>
      <c r="X47" s="205"/>
      <c r="Y47" s="205"/>
      <c r="Z47" s="205"/>
      <c r="AA47" s="205"/>
      <c r="AB47" s="205" t="s">
        <v>446</v>
      </c>
      <c r="AC47" s="205" t="s">
        <v>449</v>
      </c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0"/>
      <c r="BJ47" s="200"/>
      <c r="BK47" s="200"/>
      <c r="BL47" s="200"/>
      <c r="BM47" s="200"/>
      <c r="BN47" s="200"/>
      <c r="BO47" s="200"/>
      <c r="BP47" s="200"/>
      <c r="BQ47" s="200"/>
      <c r="BR47" s="200"/>
      <c r="BS47" s="200"/>
      <c r="BT47" s="200"/>
      <c r="BU47" s="200"/>
      <c r="BV47" s="200"/>
      <c r="BW47" s="200"/>
      <c r="BX47" s="200"/>
      <c r="BY47" s="200"/>
      <c r="BZ47" s="200"/>
      <c r="CA47" s="200"/>
      <c r="CB47" s="200"/>
      <c r="CC47" s="200"/>
      <c r="CD47" s="200"/>
      <c r="CE47" s="200"/>
      <c r="CF47" s="200"/>
      <c r="CG47" s="200"/>
      <c r="CH47" s="200"/>
      <c r="CI47" s="200"/>
      <c r="CJ47" s="200"/>
      <c r="CK47" s="200"/>
      <c r="CL47" s="200"/>
      <c r="CM47" s="200"/>
      <c r="CN47" s="200"/>
      <c r="CO47" s="200"/>
      <c r="CP47" s="200"/>
      <c r="CQ47" s="200"/>
      <c r="CR47" s="200"/>
      <c r="CS47" s="200"/>
      <c r="CT47" s="200"/>
      <c r="CU47" s="200"/>
      <c r="CV47" s="200"/>
    </row>
    <row r="48" spans="1:100" x14ac:dyDescent="0.2">
      <c r="A48" s="219">
        <v>0</v>
      </c>
      <c r="B48" s="219">
        <v>0</v>
      </c>
      <c r="C48" s="205" t="s">
        <v>428</v>
      </c>
      <c r="D48" s="205" t="s">
        <v>449</v>
      </c>
      <c r="E48" s="191">
        <v>58.77</v>
      </c>
      <c r="F48" s="205" t="s">
        <v>446</v>
      </c>
      <c r="G48" s="205"/>
      <c r="H48" s="205"/>
      <c r="I48" s="205"/>
      <c r="J48"/>
      <c r="K48"/>
      <c r="L48" s="205"/>
      <c r="M48" s="205"/>
      <c r="N48" s="205"/>
      <c r="O48" s="191">
        <v>1.5</v>
      </c>
      <c r="P48" s="191">
        <v>1</v>
      </c>
      <c r="Q48" s="205" t="s">
        <v>398</v>
      </c>
      <c r="R48" s="205" t="s">
        <v>451</v>
      </c>
      <c r="S48" s="205">
        <v>793877.7524</v>
      </c>
      <c r="T48" s="205">
        <v>2187691.7919999999</v>
      </c>
      <c r="U48" s="205">
        <v>793856.80180000002</v>
      </c>
      <c r="V48" s="205">
        <v>2187636.8870000001</v>
      </c>
      <c r="W48" s="205"/>
      <c r="X48" s="205"/>
      <c r="Y48" s="205"/>
      <c r="Z48" s="205"/>
      <c r="AA48" s="205"/>
      <c r="AB48" s="205" t="s">
        <v>449</v>
      </c>
      <c r="AC48" s="205" t="s">
        <v>398</v>
      </c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>
        <v>0</v>
      </c>
      <c r="B49" s="219">
        <v>1</v>
      </c>
      <c r="C49" s="205" t="s">
        <v>428</v>
      </c>
      <c r="D49" s="205" t="s">
        <v>398</v>
      </c>
      <c r="E49" s="191">
        <v>31.25</v>
      </c>
      <c r="F49" s="205" t="s">
        <v>449</v>
      </c>
      <c r="G49" s="205"/>
      <c r="H49" s="205"/>
      <c r="I49" s="205"/>
      <c r="J49"/>
      <c r="K49"/>
      <c r="L49" s="205"/>
      <c r="M49" s="205"/>
      <c r="N49" s="205"/>
      <c r="O49" s="191">
        <v>1</v>
      </c>
      <c r="P49" s="191">
        <v>0.86</v>
      </c>
      <c r="Q49" s="205" t="s">
        <v>395</v>
      </c>
      <c r="R49" s="205" t="s">
        <v>452</v>
      </c>
      <c r="S49" s="205">
        <v>793856.80180000002</v>
      </c>
      <c r="T49" s="205">
        <v>2187636.8870000001</v>
      </c>
      <c r="U49" s="205">
        <v>793839.60450000002</v>
      </c>
      <c r="V49" s="205">
        <v>2187610.7969999998</v>
      </c>
      <c r="W49" s="205"/>
      <c r="X49" s="205"/>
      <c r="Y49" s="205"/>
      <c r="Z49" s="205"/>
      <c r="AA49" s="205"/>
      <c r="AB49" s="205" t="s">
        <v>398</v>
      </c>
      <c r="AC49" s="205" t="s">
        <v>395</v>
      </c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>
        <v>1</v>
      </c>
      <c r="B50" s="219">
        <v>0</v>
      </c>
      <c r="C50" s="205" t="s">
        <v>453</v>
      </c>
      <c r="D50" s="205" t="s">
        <v>454</v>
      </c>
      <c r="E50" s="191">
        <v>48.16</v>
      </c>
      <c r="F50" s="205"/>
      <c r="G50" s="205"/>
      <c r="H50" s="205"/>
      <c r="I50" s="205"/>
      <c r="J50"/>
      <c r="K50"/>
      <c r="L50" s="205"/>
      <c r="M50" s="205"/>
      <c r="N50" s="205"/>
      <c r="O50" s="191">
        <v>4.1900000000000004</v>
      </c>
      <c r="P50" s="191">
        <v>2.78</v>
      </c>
      <c r="Q50" s="205" t="s">
        <v>455</v>
      </c>
      <c r="R50" s="205" t="s">
        <v>456</v>
      </c>
      <c r="S50" s="205">
        <v>793448.66729999997</v>
      </c>
      <c r="T50" s="205">
        <v>2187494.4309999999</v>
      </c>
      <c r="U50" s="205">
        <v>793493.77430000005</v>
      </c>
      <c r="V50" s="205">
        <v>2187477.5690000001</v>
      </c>
      <c r="W50" s="205"/>
      <c r="X50" s="205"/>
      <c r="Y50" s="205"/>
      <c r="Z50" s="205"/>
      <c r="AA50" s="205"/>
      <c r="AB50" s="205" t="s">
        <v>454</v>
      </c>
      <c r="AC50" s="205" t="s">
        <v>455</v>
      </c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>
        <v>0</v>
      </c>
      <c r="B51" s="219">
        <v>0</v>
      </c>
      <c r="C51" s="205" t="s">
        <v>453</v>
      </c>
      <c r="D51" s="205" t="s">
        <v>455</v>
      </c>
      <c r="E51" s="191">
        <v>59.56</v>
      </c>
      <c r="F51" s="205" t="s">
        <v>454</v>
      </c>
      <c r="G51" s="205"/>
      <c r="H51" s="205"/>
      <c r="I51" s="205"/>
      <c r="J51"/>
      <c r="K51"/>
      <c r="L51" s="205"/>
      <c r="M51" s="205"/>
      <c r="N51" s="205"/>
      <c r="O51" s="191">
        <v>2.78</v>
      </c>
      <c r="P51" s="191">
        <v>1.51</v>
      </c>
      <c r="Q51" s="205" t="s">
        <v>457</v>
      </c>
      <c r="R51" s="205" t="s">
        <v>458</v>
      </c>
      <c r="S51" s="205">
        <v>793493.77430000005</v>
      </c>
      <c r="T51" s="205">
        <v>2187477.5690000001</v>
      </c>
      <c r="U51" s="205">
        <v>793549.17940000002</v>
      </c>
      <c r="V51" s="205">
        <v>2187455.7080000001</v>
      </c>
      <c r="W51" s="205"/>
      <c r="X51" s="205"/>
      <c r="Y51" s="205"/>
      <c r="Z51" s="205"/>
      <c r="AA51" s="205"/>
      <c r="AB51" s="205" t="s">
        <v>455</v>
      </c>
      <c r="AC51" s="205" t="s">
        <v>457</v>
      </c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>
        <v>0</v>
      </c>
      <c r="B52" s="219">
        <v>0</v>
      </c>
      <c r="C52" s="205" t="s">
        <v>453</v>
      </c>
      <c r="D52" s="205" t="s">
        <v>457</v>
      </c>
      <c r="E52" s="191">
        <v>59.66</v>
      </c>
      <c r="F52" s="205" t="s">
        <v>455</v>
      </c>
      <c r="G52" s="205"/>
      <c r="H52" s="205"/>
      <c r="I52" s="205"/>
      <c r="J52"/>
      <c r="K52"/>
      <c r="L52" s="205"/>
      <c r="M52" s="205"/>
      <c r="N52" s="205"/>
      <c r="O52" s="191">
        <v>1.51</v>
      </c>
      <c r="P52" s="191">
        <v>1.5</v>
      </c>
      <c r="Q52" s="205" t="s">
        <v>459</v>
      </c>
      <c r="R52" s="205" t="s">
        <v>460</v>
      </c>
      <c r="S52" s="205">
        <v>793549.17940000002</v>
      </c>
      <c r="T52" s="205">
        <v>2187455.7080000001</v>
      </c>
      <c r="U52" s="205">
        <v>793606.21050000004</v>
      </c>
      <c r="V52" s="205">
        <v>2187438.1830000002</v>
      </c>
      <c r="W52" s="205"/>
      <c r="X52" s="205"/>
      <c r="Y52" s="205"/>
      <c r="Z52" s="205"/>
      <c r="AA52" s="205"/>
      <c r="AB52" s="205" t="s">
        <v>457</v>
      </c>
      <c r="AC52" s="205" t="s">
        <v>459</v>
      </c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>
        <v>0</v>
      </c>
      <c r="B53" s="219">
        <v>0</v>
      </c>
      <c r="C53" s="205" t="s">
        <v>453</v>
      </c>
      <c r="D53" s="205" t="s">
        <v>459</v>
      </c>
      <c r="E53" s="191">
        <v>49.29</v>
      </c>
      <c r="F53" s="205" t="s">
        <v>457</v>
      </c>
      <c r="G53" s="205"/>
      <c r="H53" s="205"/>
      <c r="I53" s="205"/>
      <c r="J53" s="205"/>
      <c r="K53" s="205"/>
      <c r="L53" s="205"/>
      <c r="M53" s="205"/>
      <c r="N53" s="205"/>
      <c r="O53" s="191">
        <v>1.5</v>
      </c>
      <c r="P53" s="191">
        <v>1.41</v>
      </c>
      <c r="Q53" s="205" t="s">
        <v>380</v>
      </c>
      <c r="R53" s="205" t="s">
        <v>461</v>
      </c>
      <c r="S53" s="205">
        <v>793606.21050000004</v>
      </c>
      <c r="T53" s="205">
        <v>2187438.1830000002</v>
      </c>
      <c r="U53" s="205">
        <v>793634.696</v>
      </c>
      <c r="V53" s="205">
        <v>2187478.412</v>
      </c>
      <c r="W53" s="205"/>
      <c r="X53" s="205"/>
      <c r="Y53" s="205"/>
      <c r="Z53" s="205"/>
      <c r="AA53" s="205"/>
      <c r="AB53" s="205" t="s">
        <v>459</v>
      </c>
      <c r="AC53" s="205" t="s">
        <v>380</v>
      </c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0"/>
      <c r="BJ53" s="200"/>
      <c r="BK53" s="200"/>
      <c r="BL53" s="200"/>
      <c r="BM53" s="200"/>
      <c r="BN53" s="200"/>
      <c r="BO53" s="200"/>
      <c r="BP53" s="200"/>
      <c r="BQ53" s="200"/>
      <c r="BR53" s="200"/>
      <c r="BS53" s="200"/>
      <c r="BT53" s="200"/>
      <c r="BU53" s="200"/>
      <c r="BV53" s="200"/>
      <c r="BW53" s="200"/>
      <c r="BX53" s="200"/>
      <c r="BY53" s="200"/>
      <c r="BZ53" s="200"/>
      <c r="CA53" s="200"/>
      <c r="CB53" s="200"/>
      <c r="CC53" s="200"/>
      <c r="CD53" s="200"/>
      <c r="CE53" s="200"/>
      <c r="CF53" s="200"/>
      <c r="CG53" s="200"/>
      <c r="CH53" s="200"/>
      <c r="CI53" s="200"/>
      <c r="CJ53" s="200"/>
      <c r="CK53" s="200"/>
      <c r="CL53" s="200"/>
      <c r="CM53" s="200"/>
      <c r="CN53" s="200"/>
      <c r="CO53" s="200"/>
      <c r="CP53" s="200"/>
      <c r="CQ53" s="200"/>
      <c r="CR53" s="200"/>
      <c r="CS53" s="200"/>
      <c r="CT53" s="200"/>
      <c r="CU53" s="200"/>
      <c r="CV53" s="200"/>
    </row>
    <row r="54" spans="1:100" x14ac:dyDescent="0.2">
      <c r="A54" s="219">
        <v>0</v>
      </c>
      <c r="B54" s="219">
        <v>1</v>
      </c>
      <c r="C54" s="205" t="s">
        <v>453</v>
      </c>
      <c r="D54" s="205" t="s">
        <v>380</v>
      </c>
      <c r="E54" s="191">
        <v>49.25</v>
      </c>
      <c r="F54" s="205" t="s">
        <v>459</v>
      </c>
      <c r="G54" s="205"/>
      <c r="H54" s="205"/>
      <c r="I54" s="205"/>
      <c r="J54"/>
      <c r="K54"/>
      <c r="L54" s="205"/>
      <c r="M54" s="205"/>
      <c r="N54" s="205"/>
      <c r="O54" s="191">
        <v>1.41</v>
      </c>
      <c r="P54" s="191">
        <v>1</v>
      </c>
      <c r="Q54" s="205" t="s">
        <v>378</v>
      </c>
      <c r="R54" s="205" t="s">
        <v>462</v>
      </c>
      <c r="S54" s="205">
        <v>793634.696</v>
      </c>
      <c r="T54" s="205">
        <v>2187478.412</v>
      </c>
      <c r="U54" s="205">
        <v>793662.71470000001</v>
      </c>
      <c r="V54" s="205">
        <v>2187518.912</v>
      </c>
      <c r="W54" s="205"/>
      <c r="X54" s="205"/>
      <c r="Y54" s="205"/>
      <c r="Z54" s="205"/>
      <c r="AA54" s="205"/>
      <c r="AB54" s="205" t="s">
        <v>380</v>
      </c>
      <c r="AC54" s="205" t="s">
        <v>378</v>
      </c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>
        <v>1</v>
      </c>
      <c r="B55" s="219">
        <v>0</v>
      </c>
      <c r="C55" s="205" t="s">
        <v>463</v>
      </c>
      <c r="D55" s="205" t="s">
        <v>464</v>
      </c>
      <c r="E55" s="191">
        <v>46.34</v>
      </c>
      <c r="F55" s="205"/>
      <c r="G55" s="205"/>
      <c r="H55" s="205"/>
      <c r="I55" s="205"/>
      <c r="J55"/>
      <c r="K55"/>
      <c r="L55" s="205"/>
      <c r="M55" s="205"/>
      <c r="N55" s="205"/>
      <c r="O55" s="191">
        <v>20.82</v>
      </c>
      <c r="P55" s="191">
        <v>19.22</v>
      </c>
      <c r="Q55" s="205" t="s">
        <v>344</v>
      </c>
      <c r="R55" s="205" t="s">
        <v>465</v>
      </c>
      <c r="S55" s="205">
        <v>792917.41099999996</v>
      </c>
      <c r="T55" s="205">
        <v>2187725.8450000002</v>
      </c>
      <c r="U55" s="205">
        <v>792962.19</v>
      </c>
      <c r="V55" s="205">
        <v>2187713.9279999998</v>
      </c>
      <c r="W55" s="205"/>
      <c r="X55" s="205"/>
      <c r="Y55" s="205"/>
      <c r="Z55" s="205"/>
      <c r="AA55" s="205"/>
      <c r="AB55" s="205" t="s">
        <v>464</v>
      </c>
      <c r="AC55" s="205" t="s">
        <v>344</v>
      </c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>
        <v>0</v>
      </c>
      <c r="B56" s="219">
        <v>1</v>
      </c>
      <c r="C56" s="205" t="s">
        <v>463</v>
      </c>
      <c r="D56" s="205" t="s">
        <v>344</v>
      </c>
      <c r="E56" s="191">
        <v>48.92</v>
      </c>
      <c r="F56" s="205" t="s">
        <v>464</v>
      </c>
      <c r="G56" s="205"/>
      <c r="H56" s="205"/>
      <c r="I56" s="205"/>
      <c r="J56"/>
      <c r="K56"/>
      <c r="L56" s="205"/>
      <c r="M56" s="205"/>
      <c r="N56" s="205"/>
      <c r="O56" s="191">
        <v>19.22</v>
      </c>
      <c r="P56" s="191">
        <v>17.89</v>
      </c>
      <c r="Q56" s="205" t="s">
        <v>342</v>
      </c>
      <c r="R56" s="205" t="s">
        <v>466</v>
      </c>
      <c r="S56" s="205">
        <v>792962.19</v>
      </c>
      <c r="T56" s="205">
        <v>2187713.9279999998</v>
      </c>
      <c r="U56" s="205">
        <v>792977.87450000003</v>
      </c>
      <c r="V56" s="205">
        <v>2187760.27</v>
      </c>
      <c r="W56" s="205"/>
      <c r="X56" s="205"/>
      <c r="Y56" s="205"/>
      <c r="Z56" s="205"/>
      <c r="AA56" s="205"/>
      <c r="AB56" s="205" t="s">
        <v>344</v>
      </c>
      <c r="AC56" s="205" t="s">
        <v>342</v>
      </c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>
        <v>1</v>
      </c>
      <c r="B57" s="219">
        <v>0</v>
      </c>
      <c r="C57" s="205" t="s">
        <v>467</v>
      </c>
      <c r="D57" s="205" t="s">
        <v>468</v>
      </c>
      <c r="E57" s="191">
        <v>44.92</v>
      </c>
      <c r="F57" s="205"/>
      <c r="G57" s="205"/>
      <c r="H57" s="205"/>
      <c r="I57" s="205"/>
      <c r="J57" s="205"/>
      <c r="K57" s="205"/>
      <c r="L57" s="205"/>
      <c r="M57" s="205"/>
      <c r="N57" s="205"/>
      <c r="O57" s="191">
        <v>22.01</v>
      </c>
      <c r="P57" s="191">
        <v>19.91</v>
      </c>
      <c r="Q57" s="205" t="s">
        <v>469</v>
      </c>
      <c r="R57" s="205" t="s">
        <v>470</v>
      </c>
      <c r="S57" s="205">
        <v>792903.22820000001</v>
      </c>
      <c r="T57" s="205">
        <v>2187680.5950000002</v>
      </c>
      <c r="U57" s="205">
        <v>792946.37280000001</v>
      </c>
      <c r="V57" s="205">
        <v>2187668.08</v>
      </c>
      <c r="W57" s="205"/>
      <c r="X57" s="205"/>
      <c r="Y57" s="205"/>
      <c r="Z57" s="205"/>
      <c r="AA57" s="205"/>
      <c r="AB57" s="205" t="s">
        <v>468</v>
      </c>
      <c r="AC57" s="205" t="s">
        <v>469</v>
      </c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0"/>
      <c r="BH57" s="200"/>
      <c r="BJ57" s="200"/>
      <c r="BK57" s="200"/>
      <c r="BL57" s="200"/>
      <c r="BM57" s="200"/>
      <c r="BN57" s="200"/>
      <c r="BO57" s="200"/>
      <c r="BP57" s="200"/>
      <c r="BQ57" s="200"/>
      <c r="BR57" s="200"/>
      <c r="BS57" s="200"/>
      <c r="BT57" s="200"/>
      <c r="BU57" s="200"/>
      <c r="BV57" s="200"/>
      <c r="BW57" s="200"/>
      <c r="BX57" s="200"/>
      <c r="BY57" s="200"/>
      <c r="BZ57" s="200"/>
      <c r="CA57" s="200"/>
      <c r="CB57" s="200"/>
      <c r="CC57" s="200"/>
      <c r="CD57" s="200"/>
      <c r="CE57" s="200"/>
      <c r="CF57" s="200"/>
      <c r="CG57" s="200"/>
      <c r="CH57" s="200"/>
      <c r="CI57" s="200"/>
      <c r="CJ57" s="200"/>
      <c r="CK57" s="200"/>
      <c r="CL57" s="200"/>
      <c r="CM57" s="200"/>
      <c r="CN57" s="200"/>
      <c r="CO57" s="200"/>
      <c r="CP57" s="200"/>
      <c r="CQ57" s="200"/>
      <c r="CR57" s="200"/>
      <c r="CS57" s="200"/>
      <c r="CT57" s="200"/>
      <c r="CU57" s="200"/>
      <c r="CV57" s="200"/>
    </row>
    <row r="58" spans="1:100" x14ac:dyDescent="0.2">
      <c r="A58" s="219">
        <v>0</v>
      </c>
      <c r="B58" s="219">
        <v>0</v>
      </c>
      <c r="C58" s="205" t="s">
        <v>467</v>
      </c>
      <c r="D58" s="205" t="s">
        <v>469</v>
      </c>
      <c r="E58" s="191">
        <v>47.79</v>
      </c>
      <c r="F58" s="205" t="s">
        <v>468</v>
      </c>
      <c r="G58" s="205"/>
      <c r="H58" s="205"/>
      <c r="I58" s="205"/>
      <c r="J58"/>
      <c r="K58"/>
      <c r="L58" s="205"/>
      <c r="M58" s="205"/>
      <c r="N58" s="205"/>
      <c r="O58" s="191">
        <v>19.91</v>
      </c>
      <c r="P58" s="191">
        <v>17.5</v>
      </c>
      <c r="Q58" s="205" t="s">
        <v>471</v>
      </c>
      <c r="R58" s="205" t="s">
        <v>472</v>
      </c>
      <c r="S58" s="205">
        <v>792946.37280000001</v>
      </c>
      <c r="T58" s="205">
        <v>2187668.08</v>
      </c>
      <c r="U58" s="205">
        <v>792991.83929999999</v>
      </c>
      <c r="V58" s="205">
        <v>2187653.3679999998</v>
      </c>
      <c r="W58" s="205"/>
      <c r="X58" s="205"/>
      <c r="Y58" s="205"/>
      <c r="Z58" s="205"/>
      <c r="AA58" s="205"/>
      <c r="AB58" s="205" t="s">
        <v>469</v>
      </c>
      <c r="AC58" s="205" t="s">
        <v>471</v>
      </c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>
        <v>0</v>
      </c>
      <c r="B59" s="219">
        <v>0</v>
      </c>
      <c r="C59" s="205" t="s">
        <v>467</v>
      </c>
      <c r="D59" s="205" t="s">
        <v>471</v>
      </c>
      <c r="E59" s="191">
        <v>46.99</v>
      </c>
      <c r="F59" s="205" t="s">
        <v>469</v>
      </c>
      <c r="G59" s="205"/>
      <c r="H59" s="205"/>
      <c r="I59" s="205"/>
      <c r="J59"/>
      <c r="K59"/>
      <c r="L59" s="205"/>
      <c r="M59" s="205"/>
      <c r="N59" s="205"/>
      <c r="O59" s="191">
        <v>17.5</v>
      </c>
      <c r="P59" s="191">
        <v>16.87</v>
      </c>
      <c r="Q59" s="205" t="s">
        <v>473</v>
      </c>
      <c r="R59" s="205" t="s">
        <v>474</v>
      </c>
      <c r="S59" s="205">
        <v>792991.83929999999</v>
      </c>
      <c r="T59" s="205">
        <v>2187653.3679999998</v>
      </c>
      <c r="U59" s="205">
        <v>793007.77520000003</v>
      </c>
      <c r="V59" s="205">
        <v>2187697.5780000002</v>
      </c>
      <c r="W59" s="205"/>
      <c r="X59" s="205"/>
      <c r="Y59" s="205"/>
      <c r="Z59" s="205"/>
      <c r="AA59" s="205"/>
      <c r="AB59" s="205" t="s">
        <v>471</v>
      </c>
      <c r="AC59" s="205" t="s">
        <v>473</v>
      </c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>
        <v>0</v>
      </c>
      <c r="B60" s="219">
        <v>0</v>
      </c>
      <c r="C60" s="205" t="s">
        <v>467</v>
      </c>
      <c r="D60" s="205" t="s">
        <v>473</v>
      </c>
      <c r="E60" s="191">
        <v>47.67</v>
      </c>
      <c r="F60" s="205" t="s">
        <v>471</v>
      </c>
      <c r="G60" s="205"/>
      <c r="H60" s="205"/>
      <c r="I60" s="205"/>
      <c r="J60" s="205"/>
      <c r="K60" s="205"/>
      <c r="L60" s="205"/>
      <c r="M60" s="205"/>
      <c r="N60" s="205"/>
      <c r="O60" s="191">
        <v>16.87</v>
      </c>
      <c r="P60" s="191">
        <v>15.53</v>
      </c>
      <c r="Q60" s="205" t="s">
        <v>349</v>
      </c>
      <c r="R60" s="205" t="s">
        <v>475</v>
      </c>
      <c r="S60" s="205">
        <v>793007.77520000003</v>
      </c>
      <c r="T60" s="205">
        <v>2187697.5780000002</v>
      </c>
      <c r="U60" s="205">
        <v>793052.85900000005</v>
      </c>
      <c r="V60" s="205">
        <v>2187682.088</v>
      </c>
      <c r="W60" s="205"/>
      <c r="X60" s="205"/>
      <c r="Y60" s="205"/>
      <c r="Z60" s="205"/>
      <c r="AA60" s="205"/>
      <c r="AB60" s="205" t="s">
        <v>473</v>
      </c>
      <c r="AC60" s="205" t="s">
        <v>349</v>
      </c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0"/>
      <c r="BJ60" s="200"/>
      <c r="BK60" s="200"/>
      <c r="BL60" s="200"/>
      <c r="BM60" s="200"/>
      <c r="BN60" s="200"/>
      <c r="BO60" s="200"/>
      <c r="BP60" s="200"/>
      <c r="BQ60" s="200"/>
      <c r="BR60" s="200"/>
      <c r="BS60" s="200"/>
      <c r="BT60" s="200"/>
      <c r="BU60" s="200"/>
      <c r="BV60" s="200"/>
      <c r="BW60" s="200"/>
      <c r="BX60" s="200"/>
      <c r="BY60" s="200"/>
      <c r="BZ60" s="200"/>
      <c r="CA60" s="200"/>
      <c r="CB60" s="200"/>
      <c r="CC60" s="200"/>
      <c r="CD60" s="200"/>
      <c r="CE60" s="200"/>
      <c r="CF60" s="200"/>
      <c r="CG60" s="200"/>
      <c r="CH60" s="200"/>
      <c r="CI60" s="200"/>
      <c r="CJ60" s="200"/>
      <c r="CK60" s="200"/>
      <c r="CL60" s="200"/>
      <c r="CM60" s="200"/>
      <c r="CN60" s="200"/>
      <c r="CO60" s="200"/>
      <c r="CP60" s="200"/>
      <c r="CQ60" s="200"/>
      <c r="CR60" s="200"/>
      <c r="CS60" s="200"/>
      <c r="CT60" s="200"/>
      <c r="CU60" s="200"/>
      <c r="CV60" s="200"/>
    </row>
    <row r="61" spans="1:100" x14ac:dyDescent="0.2">
      <c r="A61" s="219">
        <v>0</v>
      </c>
      <c r="B61" s="219">
        <v>1</v>
      </c>
      <c r="C61" s="205" t="s">
        <v>467</v>
      </c>
      <c r="D61" s="205" t="s">
        <v>349</v>
      </c>
      <c r="E61" s="191">
        <v>49.92</v>
      </c>
      <c r="F61" s="205" t="s">
        <v>473</v>
      </c>
      <c r="G61" s="205"/>
      <c r="H61" s="205"/>
      <c r="I61" s="205"/>
      <c r="J61" s="205"/>
      <c r="K61" s="205"/>
      <c r="L61" s="205"/>
      <c r="M61" s="205"/>
      <c r="N61" s="205"/>
      <c r="O61" s="191">
        <v>15.53</v>
      </c>
      <c r="P61" s="191">
        <v>14.88</v>
      </c>
      <c r="Q61" s="205" t="s">
        <v>347</v>
      </c>
      <c r="R61" s="205" t="s">
        <v>476</v>
      </c>
      <c r="S61" s="205">
        <v>793052.85900000005</v>
      </c>
      <c r="T61" s="205">
        <v>2187682.088</v>
      </c>
      <c r="U61" s="205">
        <v>793070.28659999999</v>
      </c>
      <c r="V61" s="205">
        <v>2187728.8640000001</v>
      </c>
      <c r="W61" s="205"/>
      <c r="X61" s="205"/>
      <c r="Y61" s="205"/>
      <c r="Z61" s="205"/>
      <c r="AA61" s="205"/>
      <c r="AB61" s="205" t="s">
        <v>349</v>
      </c>
      <c r="AC61" s="205" t="s">
        <v>347</v>
      </c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0"/>
      <c r="BK61" s="200"/>
      <c r="BL61" s="200"/>
      <c r="BM61" s="200"/>
      <c r="BN61" s="200"/>
      <c r="BO61" s="200"/>
      <c r="BP61" s="200"/>
      <c r="BQ61" s="200"/>
      <c r="BR61" s="200"/>
      <c r="BS61" s="200"/>
      <c r="BT61" s="200"/>
      <c r="BU61" s="200"/>
      <c r="BV61" s="200"/>
      <c r="BW61" s="200"/>
      <c r="BX61" s="200"/>
      <c r="BY61" s="200"/>
      <c r="BZ61" s="200"/>
      <c r="CA61" s="200"/>
      <c r="CB61" s="200"/>
      <c r="CC61" s="200"/>
      <c r="CD61" s="200"/>
      <c r="CE61" s="200"/>
      <c r="CF61" s="200"/>
      <c r="CG61" s="200"/>
      <c r="CH61" s="200"/>
      <c r="CI61" s="200"/>
      <c r="CJ61" s="200"/>
      <c r="CK61" s="200"/>
      <c r="CL61" s="200"/>
      <c r="CM61" s="200"/>
      <c r="CN61" s="200"/>
      <c r="CO61" s="200"/>
      <c r="CP61" s="200"/>
      <c r="CQ61" s="200"/>
      <c r="CR61" s="200"/>
      <c r="CS61" s="200"/>
      <c r="CT61" s="200"/>
      <c r="CU61" s="200"/>
      <c r="CV61" s="200"/>
    </row>
    <row r="62" spans="1:100" x14ac:dyDescent="0.2">
      <c r="A62" s="219">
        <v>1</v>
      </c>
      <c r="B62" s="219">
        <v>0</v>
      </c>
      <c r="C62" s="205" t="s">
        <v>477</v>
      </c>
      <c r="D62" s="205" t="s">
        <v>478</v>
      </c>
      <c r="E62" s="191">
        <v>50</v>
      </c>
      <c r="F62" s="205"/>
      <c r="G62" s="205"/>
      <c r="H62" s="205"/>
      <c r="I62" s="205"/>
      <c r="J62"/>
      <c r="K62"/>
      <c r="L62" s="205"/>
      <c r="M62" s="205"/>
      <c r="N62" s="205"/>
      <c r="O62" s="191">
        <v>3.79</v>
      </c>
      <c r="P62" s="191">
        <v>3.02</v>
      </c>
      <c r="Q62" s="205" t="s">
        <v>479</v>
      </c>
      <c r="R62" s="205" t="s">
        <v>480</v>
      </c>
      <c r="S62" s="205">
        <v>793452.2807</v>
      </c>
      <c r="T62" s="205">
        <v>2187648.858</v>
      </c>
      <c r="U62" s="205">
        <v>793498.59210000001</v>
      </c>
      <c r="V62" s="205">
        <v>2187630.0079999999</v>
      </c>
      <c r="W62" s="205"/>
      <c r="X62" s="205"/>
      <c r="Y62" s="205"/>
      <c r="Z62" s="205"/>
      <c r="AA62" s="205"/>
      <c r="AB62" s="205" t="s">
        <v>478</v>
      </c>
      <c r="AC62" s="205" t="s">
        <v>479</v>
      </c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>
        <v>0</v>
      </c>
      <c r="B63" s="219">
        <v>0</v>
      </c>
      <c r="C63" s="205" t="s">
        <v>477</v>
      </c>
      <c r="D63" s="205" t="s">
        <v>479</v>
      </c>
      <c r="E63" s="191">
        <v>50.95</v>
      </c>
      <c r="F63" s="205" t="s">
        <v>478</v>
      </c>
      <c r="G63" s="205"/>
      <c r="H63" s="205"/>
      <c r="I63" s="205"/>
      <c r="J63"/>
      <c r="K63"/>
      <c r="L63" s="205"/>
      <c r="M63" s="205"/>
      <c r="N63" s="205"/>
      <c r="O63" s="191">
        <v>3.02</v>
      </c>
      <c r="P63" s="191">
        <v>2.73</v>
      </c>
      <c r="Q63" s="205" t="s">
        <v>481</v>
      </c>
      <c r="R63" s="205" t="s">
        <v>482</v>
      </c>
      <c r="S63" s="205">
        <v>793498.59210000001</v>
      </c>
      <c r="T63" s="205">
        <v>2187630.0079999999</v>
      </c>
      <c r="U63" s="205">
        <v>793546.22849999997</v>
      </c>
      <c r="V63" s="205">
        <v>2187611.9410000001</v>
      </c>
      <c r="W63" s="205"/>
      <c r="X63" s="205"/>
      <c r="Y63" s="205"/>
      <c r="Z63" s="205"/>
      <c r="AA63" s="205"/>
      <c r="AB63" s="205" t="s">
        <v>479</v>
      </c>
      <c r="AC63" s="205" t="s">
        <v>481</v>
      </c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>
        <v>0</v>
      </c>
      <c r="B64" s="219">
        <v>0</v>
      </c>
      <c r="C64" s="205" t="s">
        <v>477</v>
      </c>
      <c r="D64" s="205" t="s">
        <v>481</v>
      </c>
      <c r="E64" s="191">
        <v>54.94</v>
      </c>
      <c r="F64" s="205" t="s">
        <v>479</v>
      </c>
      <c r="G64" s="205"/>
      <c r="H64" s="205"/>
      <c r="I64" s="205"/>
      <c r="J64"/>
      <c r="K64"/>
      <c r="L64" s="205"/>
      <c r="M64" s="205"/>
      <c r="N64" s="205"/>
      <c r="O64" s="191">
        <v>2.73</v>
      </c>
      <c r="P64" s="191">
        <v>2.2000000000000002</v>
      </c>
      <c r="Q64" s="205" t="s">
        <v>483</v>
      </c>
      <c r="R64" s="205" t="s">
        <v>484</v>
      </c>
      <c r="S64" s="205">
        <v>793546.22849999997</v>
      </c>
      <c r="T64" s="205">
        <v>2187611.9410000001</v>
      </c>
      <c r="U64" s="205">
        <v>793597.53839999996</v>
      </c>
      <c r="V64" s="205">
        <v>2187592.3080000002</v>
      </c>
      <c r="W64" s="205"/>
      <c r="X64" s="205"/>
      <c r="Y64" s="205"/>
      <c r="Z64" s="205"/>
      <c r="AA64" s="205"/>
      <c r="AB64" s="205" t="s">
        <v>481</v>
      </c>
      <c r="AC64" s="205" t="s">
        <v>483</v>
      </c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>
        <v>0</v>
      </c>
      <c r="B65" s="219">
        <v>0</v>
      </c>
      <c r="C65" s="205" t="s">
        <v>477</v>
      </c>
      <c r="D65" s="205" t="s">
        <v>483</v>
      </c>
      <c r="E65" s="191">
        <v>44.34</v>
      </c>
      <c r="F65" s="205" t="s">
        <v>481</v>
      </c>
      <c r="G65" s="205"/>
      <c r="H65" s="205"/>
      <c r="I65" s="205"/>
      <c r="J65"/>
      <c r="K65"/>
      <c r="L65" s="205"/>
      <c r="M65" s="205"/>
      <c r="N65" s="205"/>
      <c r="O65" s="191">
        <v>2.2000000000000002</v>
      </c>
      <c r="P65" s="191">
        <v>1.55</v>
      </c>
      <c r="Q65" s="205" t="s">
        <v>383</v>
      </c>
      <c r="R65" s="205" t="s">
        <v>485</v>
      </c>
      <c r="S65" s="205">
        <v>793597.53839999996</v>
      </c>
      <c r="T65" s="205">
        <v>2187592.3080000002</v>
      </c>
      <c r="U65" s="205">
        <v>793638.97180000006</v>
      </c>
      <c r="V65" s="205">
        <v>2187576.5299999998</v>
      </c>
      <c r="W65" s="205"/>
      <c r="X65" s="205"/>
      <c r="Y65" s="205"/>
      <c r="Z65" s="205"/>
      <c r="AA65" s="205"/>
      <c r="AB65" s="205" t="s">
        <v>483</v>
      </c>
      <c r="AC65" s="205" t="s">
        <v>383</v>
      </c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>
        <v>0</v>
      </c>
      <c r="B66" s="219">
        <v>1</v>
      </c>
      <c r="C66" s="205" t="s">
        <v>477</v>
      </c>
      <c r="D66" s="205" t="s">
        <v>383</v>
      </c>
      <c r="E66" s="191">
        <v>53.21</v>
      </c>
      <c r="F66" s="205" t="s">
        <v>483</v>
      </c>
      <c r="G66" s="205"/>
      <c r="H66" s="205"/>
      <c r="I66" s="205"/>
      <c r="J66"/>
      <c r="K66"/>
      <c r="L66" s="205"/>
      <c r="M66" s="205"/>
      <c r="N66" s="205"/>
      <c r="O66" s="191">
        <v>1.55</v>
      </c>
      <c r="P66" s="191">
        <v>1</v>
      </c>
      <c r="Q66" s="205" t="s">
        <v>381</v>
      </c>
      <c r="R66" s="205" t="s">
        <v>486</v>
      </c>
      <c r="S66" s="205">
        <v>793638.97180000006</v>
      </c>
      <c r="T66" s="205">
        <v>2187576.5299999998</v>
      </c>
      <c r="U66" s="205">
        <v>793688.83640000003</v>
      </c>
      <c r="V66" s="205">
        <v>2187557.9509999999</v>
      </c>
      <c r="W66" s="205"/>
      <c r="X66" s="205"/>
      <c r="Y66" s="205"/>
      <c r="Z66" s="205"/>
      <c r="AA66" s="205"/>
      <c r="AB66" s="205" t="s">
        <v>383</v>
      </c>
      <c r="AC66" s="205" t="s">
        <v>381</v>
      </c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>
        <v>1</v>
      </c>
      <c r="B67" s="219">
        <v>0</v>
      </c>
      <c r="C67" s="205" t="s">
        <v>487</v>
      </c>
      <c r="D67" s="205" t="s">
        <v>488</v>
      </c>
      <c r="E67" s="191">
        <v>46.78</v>
      </c>
      <c r="F67" s="205"/>
      <c r="G67" s="205"/>
      <c r="H67" s="205"/>
      <c r="I67" s="205"/>
      <c r="J67"/>
      <c r="K67"/>
      <c r="L67" s="205"/>
      <c r="M67" s="205"/>
      <c r="N67" s="205"/>
      <c r="O67" s="191">
        <v>9.5</v>
      </c>
      <c r="P67" s="191">
        <v>9.69</v>
      </c>
      <c r="Q67" s="205" t="s">
        <v>489</v>
      </c>
      <c r="R67" s="205" t="s">
        <v>490</v>
      </c>
      <c r="S67" s="205">
        <v>793294.25569999998</v>
      </c>
      <c r="T67" s="205">
        <v>2187766.2319999998</v>
      </c>
      <c r="U67" s="205">
        <v>793337.67649999994</v>
      </c>
      <c r="V67" s="205">
        <v>2187748.8280000002</v>
      </c>
      <c r="W67" s="205"/>
      <c r="X67" s="205"/>
      <c r="Y67" s="205"/>
      <c r="Z67" s="205"/>
      <c r="AA67" s="205"/>
      <c r="AB67" s="205" t="s">
        <v>488</v>
      </c>
      <c r="AC67" s="205" t="s">
        <v>489</v>
      </c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>
        <v>0</v>
      </c>
      <c r="B68" s="219">
        <v>0</v>
      </c>
      <c r="C68" s="205" t="s">
        <v>487</v>
      </c>
      <c r="D68" s="205" t="s">
        <v>489</v>
      </c>
      <c r="E68" s="191">
        <v>49.42</v>
      </c>
      <c r="F68" s="205" t="s">
        <v>488</v>
      </c>
      <c r="G68" s="205"/>
      <c r="H68" s="205"/>
      <c r="I68" s="205"/>
      <c r="J68"/>
      <c r="K68"/>
      <c r="L68" s="205"/>
      <c r="M68" s="205"/>
      <c r="N68" s="205"/>
      <c r="O68" s="191">
        <v>9.69</v>
      </c>
      <c r="P68" s="191">
        <v>7.62</v>
      </c>
      <c r="Q68" s="205" t="s">
        <v>491</v>
      </c>
      <c r="R68" s="205" t="s">
        <v>492</v>
      </c>
      <c r="S68" s="205">
        <v>793337.67649999994</v>
      </c>
      <c r="T68" s="205">
        <v>2187748.8280000002</v>
      </c>
      <c r="U68" s="205">
        <v>793383.74699999997</v>
      </c>
      <c r="V68" s="205">
        <v>2187730.9410000001</v>
      </c>
      <c r="W68" s="205"/>
      <c r="X68" s="205"/>
      <c r="Y68" s="205"/>
      <c r="Z68" s="205"/>
      <c r="AA68" s="205"/>
      <c r="AB68" s="205" t="s">
        <v>489</v>
      </c>
      <c r="AC68" s="205" t="s">
        <v>491</v>
      </c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>
        <v>0</v>
      </c>
      <c r="B69" s="219">
        <v>0</v>
      </c>
      <c r="C69" s="205" t="s">
        <v>487</v>
      </c>
      <c r="D69" s="205" t="s">
        <v>491</v>
      </c>
      <c r="E69" s="191">
        <v>45.35</v>
      </c>
      <c r="F69" s="205" t="s">
        <v>489</v>
      </c>
      <c r="G69" s="205"/>
      <c r="H69" s="205"/>
      <c r="I69" s="205"/>
      <c r="J69"/>
      <c r="K69"/>
      <c r="L69" s="205"/>
      <c r="M69" s="205"/>
      <c r="N69" s="205"/>
      <c r="O69" s="191">
        <v>7.62</v>
      </c>
      <c r="P69" s="191">
        <v>5.41</v>
      </c>
      <c r="Q69" s="205" t="s">
        <v>493</v>
      </c>
      <c r="R69" s="205" t="s">
        <v>494</v>
      </c>
      <c r="S69" s="205">
        <v>793383.74699999997</v>
      </c>
      <c r="T69" s="205">
        <v>2187730.9410000001</v>
      </c>
      <c r="U69" s="205">
        <v>793425.42130000005</v>
      </c>
      <c r="V69" s="205">
        <v>2187713.0550000002</v>
      </c>
      <c r="W69" s="205"/>
      <c r="X69" s="205"/>
      <c r="Y69" s="205"/>
      <c r="Z69" s="205"/>
      <c r="AA69" s="205"/>
      <c r="AB69" s="205" t="s">
        <v>491</v>
      </c>
      <c r="AC69" s="205" t="s">
        <v>493</v>
      </c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>
        <v>0</v>
      </c>
      <c r="B70" s="219">
        <v>0</v>
      </c>
      <c r="C70" s="205" t="s">
        <v>487</v>
      </c>
      <c r="D70" s="205" t="s">
        <v>493</v>
      </c>
      <c r="E70" s="191">
        <v>47.34</v>
      </c>
      <c r="F70" s="205" t="s">
        <v>491</v>
      </c>
      <c r="G70" s="205"/>
      <c r="H70" s="205"/>
      <c r="I70" s="205"/>
      <c r="J70" s="205"/>
      <c r="K70" s="205"/>
      <c r="L70" s="205"/>
      <c r="M70" s="205"/>
      <c r="N70" s="205"/>
      <c r="O70" s="191">
        <v>5.41</v>
      </c>
      <c r="P70" s="191">
        <v>4.1100000000000003</v>
      </c>
      <c r="Q70" s="205" t="s">
        <v>495</v>
      </c>
      <c r="R70" s="205" t="s">
        <v>496</v>
      </c>
      <c r="S70" s="205">
        <v>793425.42130000005</v>
      </c>
      <c r="T70" s="205">
        <v>2187713.0550000002</v>
      </c>
      <c r="U70" s="205">
        <v>793469.20330000005</v>
      </c>
      <c r="V70" s="205">
        <v>2187695.0490000001</v>
      </c>
      <c r="W70" s="205"/>
      <c r="X70" s="205"/>
      <c r="Y70" s="205"/>
      <c r="Z70" s="205"/>
      <c r="AA70" s="205"/>
      <c r="AB70" s="205" t="s">
        <v>493</v>
      </c>
      <c r="AC70" s="205" t="s">
        <v>495</v>
      </c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0"/>
      <c r="BK70" s="200"/>
      <c r="BL70" s="200"/>
      <c r="BM70" s="200"/>
      <c r="BN70" s="200"/>
      <c r="BO70" s="200"/>
      <c r="BP70" s="200"/>
      <c r="BQ70" s="200"/>
      <c r="BR70" s="200"/>
      <c r="BS70" s="200"/>
      <c r="BT70" s="200"/>
      <c r="BU70" s="200"/>
      <c r="BV70" s="200"/>
      <c r="BW70" s="200"/>
      <c r="BX70" s="200"/>
      <c r="BY70" s="200"/>
      <c r="BZ70" s="200"/>
      <c r="CA70" s="200"/>
      <c r="CB70" s="200"/>
      <c r="CC70" s="200"/>
      <c r="CD70" s="200"/>
      <c r="CE70" s="200"/>
      <c r="CF70" s="200"/>
      <c r="CG70" s="200"/>
      <c r="CH70" s="200"/>
      <c r="CI70" s="200"/>
      <c r="CJ70" s="200"/>
      <c r="CK70" s="200"/>
      <c r="CL70" s="200"/>
      <c r="CM70" s="200"/>
      <c r="CN70" s="200"/>
      <c r="CO70" s="200"/>
      <c r="CP70" s="200"/>
      <c r="CQ70" s="200"/>
      <c r="CR70" s="200"/>
      <c r="CS70" s="200"/>
      <c r="CT70" s="200"/>
      <c r="CU70" s="200"/>
      <c r="CV70" s="200"/>
    </row>
    <row r="71" spans="1:100" x14ac:dyDescent="0.2">
      <c r="A71" s="219">
        <v>0</v>
      </c>
      <c r="B71" s="219">
        <v>0</v>
      </c>
      <c r="C71" s="205" t="s">
        <v>487</v>
      </c>
      <c r="D71" s="205" t="s">
        <v>495</v>
      </c>
      <c r="E71" s="191">
        <v>51.63</v>
      </c>
      <c r="F71" s="205" t="s">
        <v>493</v>
      </c>
      <c r="G71" s="205"/>
      <c r="H71" s="205"/>
      <c r="I71" s="205"/>
      <c r="J71" s="205"/>
      <c r="K71" s="205"/>
      <c r="L71" s="205"/>
      <c r="M71" s="205"/>
      <c r="N71" s="205"/>
      <c r="O71" s="191">
        <v>4.1100000000000003</v>
      </c>
      <c r="P71" s="191">
        <v>3.01</v>
      </c>
      <c r="Q71" s="205" t="s">
        <v>497</v>
      </c>
      <c r="R71" s="205" t="s">
        <v>498</v>
      </c>
      <c r="S71" s="205">
        <v>793469.20330000005</v>
      </c>
      <c r="T71" s="205">
        <v>2187695.0490000001</v>
      </c>
      <c r="U71" s="205">
        <v>793516.89989999996</v>
      </c>
      <c r="V71" s="205">
        <v>2187675.2949999999</v>
      </c>
      <c r="W71" s="205"/>
      <c r="X71" s="205"/>
      <c r="Y71" s="205"/>
      <c r="Z71" s="205"/>
      <c r="AA71" s="205"/>
      <c r="AB71" s="205" t="s">
        <v>495</v>
      </c>
      <c r="AC71" s="205" t="s">
        <v>497</v>
      </c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0"/>
      <c r="BJ71" s="200"/>
      <c r="BK71" s="200"/>
      <c r="BL71" s="200"/>
      <c r="BM71" s="200"/>
      <c r="BN71" s="200"/>
      <c r="BO71" s="200"/>
      <c r="BP71" s="200"/>
      <c r="BQ71" s="200"/>
      <c r="BR71" s="200"/>
      <c r="BS71" s="200"/>
      <c r="BT71" s="200"/>
      <c r="BU71" s="200"/>
      <c r="BV71" s="200"/>
      <c r="BW71" s="200"/>
      <c r="BX71" s="200"/>
      <c r="BY71" s="200"/>
      <c r="BZ71" s="200"/>
      <c r="CA71" s="200"/>
      <c r="CB71" s="200"/>
      <c r="CC71" s="200"/>
      <c r="CD71" s="200"/>
      <c r="CE71" s="200"/>
      <c r="CF71" s="200"/>
      <c r="CG71" s="200"/>
      <c r="CH71" s="200"/>
      <c r="CI71" s="200"/>
      <c r="CJ71" s="200"/>
      <c r="CK71" s="200"/>
      <c r="CL71" s="200"/>
      <c r="CM71" s="200"/>
      <c r="CN71" s="200"/>
      <c r="CO71" s="200"/>
      <c r="CP71" s="200"/>
      <c r="CQ71" s="200"/>
      <c r="CR71" s="200"/>
      <c r="CS71" s="200"/>
      <c r="CT71" s="200"/>
      <c r="CU71" s="200"/>
      <c r="CV71" s="200"/>
    </row>
    <row r="72" spans="1:100" x14ac:dyDescent="0.2">
      <c r="A72" s="219">
        <v>0</v>
      </c>
      <c r="B72" s="219">
        <v>0</v>
      </c>
      <c r="C72" s="205" t="s">
        <v>487</v>
      </c>
      <c r="D72" s="205" t="s">
        <v>497</v>
      </c>
      <c r="E72" s="191">
        <v>51.85</v>
      </c>
      <c r="F72" s="205" t="s">
        <v>495</v>
      </c>
      <c r="G72" s="205"/>
      <c r="H72" s="205"/>
      <c r="I72" s="205"/>
      <c r="J72" s="205"/>
      <c r="K72" s="205"/>
      <c r="L72" s="205"/>
      <c r="M72" s="205"/>
      <c r="N72" s="205"/>
      <c r="O72" s="191">
        <v>3.01</v>
      </c>
      <c r="P72" s="191">
        <v>2.81</v>
      </c>
      <c r="Q72" s="205" t="s">
        <v>499</v>
      </c>
      <c r="R72" s="205" t="s">
        <v>500</v>
      </c>
      <c r="S72" s="205">
        <v>793516.89989999996</v>
      </c>
      <c r="T72" s="205">
        <v>2187675.2949999999</v>
      </c>
      <c r="U72" s="205">
        <v>793565.49979999999</v>
      </c>
      <c r="V72" s="205">
        <v>2187657.2289999998</v>
      </c>
      <c r="W72" s="205"/>
      <c r="X72" s="205"/>
      <c r="Y72" s="205"/>
      <c r="Z72" s="205"/>
      <c r="AA72" s="205"/>
      <c r="AB72" s="205" t="s">
        <v>497</v>
      </c>
      <c r="AC72" s="205" t="s">
        <v>499</v>
      </c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0"/>
      <c r="BJ72" s="200"/>
      <c r="BK72" s="200"/>
      <c r="BL72" s="200"/>
      <c r="BM72" s="200"/>
      <c r="BN72" s="200"/>
      <c r="BO72" s="200"/>
      <c r="BP72" s="200"/>
      <c r="BQ72" s="200"/>
      <c r="BR72" s="200"/>
      <c r="BS72" s="200"/>
      <c r="BT72" s="200"/>
      <c r="BU72" s="200"/>
      <c r="BV72" s="200"/>
      <c r="BW72" s="200"/>
      <c r="BX72" s="200"/>
      <c r="BY72" s="200"/>
      <c r="BZ72" s="200"/>
      <c r="CA72" s="200"/>
      <c r="CB72" s="200"/>
      <c r="CC72" s="200"/>
      <c r="CD72" s="200"/>
      <c r="CE72" s="200"/>
      <c r="CF72" s="200"/>
      <c r="CG72" s="200"/>
      <c r="CH72" s="200"/>
      <c r="CI72" s="200"/>
      <c r="CJ72" s="200"/>
      <c r="CK72" s="200"/>
      <c r="CL72" s="200"/>
      <c r="CM72" s="200"/>
      <c r="CN72" s="200"/>
      <c r="CP72" s="200"/>
      <c r="CQ72" s="200"/>
      <c r="CR72" s="200"/>
      <c r="CS72" s="200"/>
      <c r="CT72" s="200"/>
      <c r="CU72" s="200"/>
      <c r="CV72" s="200"/>
    </row>
    <row r="73" spans="1:100" x14ac:dyDescent="0.2">
      <c r="A73" s="219">
        <v>0</v>
      </c>
      <c r="B73" s="219">
        <v>0</v>
      </c>
      <c r="C73" s="205" t="s">
        <v>487</v>
      </c>
      <c r="D73" s="205" t="s">
        <v>499</v>
      </c>
      <c r="E73" s="191">
        <v>53.18</v>
      </c>
      <c r="F73" s="205" t="s">
        <v>497</v>
      </c>
      <c r="G73" s="205"/>
      <c r="H73" s="205"/>
      <c r="I73" s="205"/>
      <c r="J73"/>
      <c r="K73"/>
      <c r="L73" s="205"/>
      <c r="M73" s="205"/>
      <c r="N73" s="205"/>
      <c r="O73" s="191">
        <v>2.81</v>
      </c>
      <c r="P73" s="191">
        <v>2.27</v>
      </c>
      <c r="Q73" s="205" t="s">
        <v>501</v>
      </c>
      <c r="R73" s="205" t="s">
        <v>502</v>
      </c>
      <c r="S73" s="205">
        <v>793565.49979999999</v>
      </c>
      <c r="T73" s="205">
        <v>2187657.2289999998</v>
      </c>
      <c r="U73" s="205">
        <v>793614.70200000005</v>
      </c>
      <c r="V73" s="205">
        <v>2187637.054</v>
      </c>
      <c r="W73" s="205"/>
      <c r="X73" s="205"/>
      <c r="Y73" s="205"/>
      <c r="Z73" s="205"/>
      <c r="AA73" s="205"/>
      <c r="AB73" s="205" t="s">
        <v>499</v>
      </c>
      <c r="AC73" s="205" t="s">
        <v>501</v>
      </c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>
        <v>0</v>
      </c>
      <c r="B74" s="219">
        <v>0</v>
      </c>
      <c r="C74" s="205" t="s">
        <v>487</v>
      </c>
      <c r="D74" s="205" t="s">
        <v>501</v>
      </c>
      <c r="E74" s="191">
        <v>55.86</v>
      </c>
      <c r="F74" s="205" t="s">
        <v>499</v>
      </c>
      <c r="G74" s="205"/>
      <c r="H74" s="205"/>
      <c r="I74" s="205"/>
      <c r="J74"/>
      <c r="K74"/>
      <c r="L74" s="205"/>
      <c r="M74" s="205"/>
      <c r="N74" s="205"/>
      <c r="O74" s="191">
        <v>2.27</v>
      </c>
      <c r="P74" s="191">
        <v>1.62</v>
      </c>
      <c r="Q74" s="205" t="s">
        <v>386</v>
      </c>
      <c r="R74" s="205" t="s">
        <v>503</v>
      </c>
      <c r="S74" s="205">
        <v>793614.70200000005</v>
      </c>
      <c r="T74" s="205">
        <v>2187637.054</v>
      </c>
      <c r="U74" s="205">
        <v>793667.63789999997</v>
      </c>
      <c r="V74" s="205">
        <v>2187619.2280000001</v>
      </c>
      <c r="W74" s="205"/>
      <c r="X74" s="205"/>
      <c r="Y74" s="205"/>
      <c r="Z74" s="205"/>
      <c r="AA74" s="205"/>
      <c r="AB74" s="205" t="s">
        <v>501</v>
      </c>
      <c r="AC74" s="205" t="s">
        <v>386</v>
      </c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>
        <v>0</v>
      </c>
      <c r="B75" s="219">
        <v>1</v>
      </c>
      <c r="C75" s="205" t="s">
        <v>487</v>
      </c>
      <c r="D75" s="205" t="s">
        <v>386</v>
      </c>
      <c r="E75" s="191">
        <v>54.29</v>
      </c>
      <c r="F75" s="205" t="s">
        <v>501</v>
      </c>
      <c r="G75" s="205"/>
      <c r="H75" s="205"/>
      <c r="I75" s="205"/>
      <c r="J75"/>
      <c r="K75"/>
      <c r="L75" s="205"/>
      <c r="M75" s="205"/>
      <c r="N75" s="205"/>
      <c r="O75" s="191">
        <v>1.62</v>
      </c>
      <c r="P75" s="191">
        <v>1</v>
      </c>
      <c r="Q75" s="205" t="s">
        <v>384</v>
      </c>
      <c r="R75" s="205" t="s">
        <v>504</v>
      </c>
      <c r="S75" s="205">
        <v>793667.63789999997</v>
      </c>
      <c r="T75" s="205">
        <v>2187619.2280000001</v>
      </c>
      <c r="U75" s="205">
        <v>793718.1348</v>
      </c>
      <c r="V75" s="205">
        <v>2187599.2940000002</v>
      </c>
      <c r="W75" s="205"/>
      <c r="X75" s="205"/>
      <c r="Y75" s="205"/>
      <c r="Z75" s="205"/>
      <c r="AA75" s="205"/>
      <c r="AB75" s="205" t="s">
        <v>386</v>
      </c>
      <c r="AC75" s="205" t="s">
        <v>384</v>
      </c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>
        <v>1</v>
      </c>
      <c r="B76" s="219">
        <v>0</v>
      </c>
      <c r="C76" s="205" t="s">
        <v>505</v>
      </c>
      <c r="D76" s="205" t="s">
        <v>506</v>
      </c>
      <c r="E76" s="191">
        <v>8.3000000000000007</v>
      </c>
      <c r="F76" s="205"/>
      <c r="G76" s="205"/>
      <c r="H76" s="205"/>
      <c r="I76" s="205" t="s">
        <v>507</v>
      </c>
      <c r="J76">
        <v>2173</v>
      </c>
      <c r="K76">
        <v>606</v>
      </c>
      <c r="L76" s="205"/>
      <c r="M76" s="205"/>
      <c r="N76" s="205"/>
      <c r="O76" s="191">
        <v>8.99</v>
      </c>
      <c r="P76" s="191">
        <v>8.5</v>
      </c>
      <c r="Q76" s="205" t="s">
        <v>508</v>
      </c>
      <c r="R76" s="205" t="s">
        <v>509</v>
      </c>
      <c r="S76" s="205">
        <v>793305.89419999998</v>
      </c>
      <c r="T76" s="205">
        <v>2187808.6179999998</v>
      </c>
      <c r="U76" s="205">
        <v>793313.90560000006</v>
      </c>
      <c r="V76" s="205">
        <v>2187806.4509999999</v>
      </c>
      <c r="W76" s="205"/>
      <c r="X76" s="205"/>
      <c r="Y76" s="205"/>
      <c r="Z76" s="205"/>
      <c r="AA76" s="205"/>
      <c r="AB76" s="205" t="s">
        <v>506</v>
      </c>
      <c r="AC76" s="205" t="s">
        <v>508</v>
      </c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>
        <v>0</v>
      </c>
      <c r="B77" s="219">
        <v>0</v>
      </c>
      <c r="C77" s="205" t="s">
        <v>505</v>
      </c>
      <c r="D77" s="205" t="s">
        <v>508</v>
      </c>
      <c r="E77" s="191">
        <v>43.6</v>
      </c>
      <c r="F77" s="205" t="s">
        <v>506</v>
      </c>
      <c r="G77" s="205"/>
      <c r="H77" s="205"/>
      <c r="I77" s="205"/>
      <c r="J77"/>
      <c r="K77"/>
      <c r="L77" s="205"/>
      <c r="M77" s="205"/>
      <c r="N77" s="205"/>
      <c r="O77" s="191">
        <v>8.5</v>
      </c>
      <c r="P77" s="191">
        <v>7.62</v>
      </c>
      <c r="Q77" s="205" t="s">
        <v>510</v>
      </c>
      <c r="R77" s="205" t="s">
        <v>511</v>
      </c>
      <c r="S77" s="205">
        <v>793313.90560000006</v>
      </c>
      <c r="T77" s="205">
        <v>2187806.4509999999</v>
      </c>
      <c r="U77" s="205">
        <v>793355.86380000005</v>
      </c>
      <c r="V77" s="205">
        <v>2187794.5970000001</v>
      </c>
      <c r="W77" s="205"/>
      <c r="X77" s="205"/>
      <c r="Y77" s="205"/>
      <c r="Z77" s="205"/>
      <c r="AA77" s="205"/>
      <c r="AB77" s="205" t="s">
        <v>508</v>
      </c>
      <c r="AC77" s="205" t="s">
        <v>510</v>
      </c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>
        <v>0</v>
      </c>
      <c r="B78" s="219">
        <v>0</v>
      </c>
      <c r="C78" s="205" t="s">
        <v>505</v>
      </c>
      <c r="D78" s="205" t="s">
        <v>510</v>
      </c>
      <c r="E78" s="191">
        <v>46.67</v>
      </c>
      <c r="F78" s="205" t="s">
        <v>508</v>
      </c>
      <c r="G78" s="205"/>
      <c r="H78" s="205"/>
      <c r="I78" s="205"/>
      <c r="J78"/>
      <c r="K78"/>
      <c r="L78" s="205"/>
      <c r="M78" s="205"/>
      <c r="N78" s="205"/>
      <c r="O78" s="191">
        <v>7.62</v>
      </c>
      <c r="P78" s="191">
        <v>6.69</v>
      </c>
      <c r="Q78" s="205" t="s">
        <v>512</v>
      </c>
      <c r="R78" s="205" t="s">
        <v>513</v>
      </c>
      <c r="S78" s="205">
        <v>793355.86380000005</v>
      </c>
      <c r="T78" s="205">
        <v>2187794.5970000001</v>
      </c>
      <c r="U78" s="205">
        <v>793399.28449999995</v>
      </c>
      <c r="V78" s="205">
        <v>2187777.4939999999</v>
      </c>
      <c r="W78" s="205"/>
      <c r="X78" s="205"/>
      <c r="Y78" s="205"/>
      <c r="Z78" s="205"/>
      <c r="AA78" s="205"/>
      <c r="AB78" s="205" t="s">
        <v>510</v>
      </c>
      <c r="AC78" s="205" t="s">
        <v>512</v>
      </c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>
        <v>0</v>
      </c>
      <c r="B79" s="219">
        <v>0</v>
      </c>
      <c r="C79" s="205" t="s">
        <v>505</v>
      </c>
      <c r="D79" s="205" t="s">
        <v>512</v>
      </c>
      <c r="E79" s="191">
        <v>46.91</v>
      </c>
      <c r="F79" s="205" t="s">
        <v>510</v>
      </c>
      <c r="G79" s="205"/>
      <c r="H79" s="205"/>
      <c r="I79" s="205"/>
      <c r="J79"/>
      <c r="K79"/>
      <c r="L79" s="205"/>
      <c r="M79" s="205"/>
      <c r="N79" s="205"/>
      <c r="O79" s="191">
        <v>6.69</v>
      </c>
      <c r="P79" s="191">
        <v>5.5</v>
      </c>
      <c r="Q79" s="205" t="s">
        <v>514</v>
      </c>
      <c r="R79" s="205" t="s">
        <v>515</v>
      </c>
      <c r="S79" s="205">
        <v>793399.28449999995</v>
      </c>
      <c r="T79" s="205">
        <v>2187777.4939999999</v>
      </c>
      <c r="U79" s="205">
        <v>793443.12679999997</v>
      </c>
      <c r="V79" s="205">
        <v>2187760.8119999999</v>
      </c>
      <c r="W79" s="205"/>
      <c r="X79" s="205"/>
      <c r="Y79" s="205"/>
      <c r="Z79" s="205"/>
      <c r="AA79" s="205"/>
      <c r="AB79" s="205" t="s">
        <v>512</v>
      </c>
      <c r="AC79" s="205" t="s">
        <v>514</v>
      </c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>
        <v>0</v>
      </c>
      <c r="B80" s="219">
        <v>0</v>
      </c>
      <c r="C80" s="205" t="s">
        <v>505</v>
      </c>
      <c r="D80" s="205" t="s">
        <v>514</v>
      </c>
      <c r="E80" s="191">
        <v>47.7</v>
      </c>
      <c r="F80" s="205" t="s">
        <v>512</v>
      </c>
      <c r="G80" s="205"/>
      <c r="H80" s="205"/>
      <c r="I80" s="205"/>
      <c r="J80"/>
      <c r="K80"/>
      <c r="L80" s="205"/>
      <c r="M80" s="205"/>
      <c r="N80" s="205"/>
      <c r="O80" s="191">
        <v>5.5</v>
      </c>
      <c r="P80" s="191">
        <v>4.5</v>
      </c>
      <c r="Q80" s="205" t="s">
        <v>516</v>
      </c>
      <c r="R80" s="205" t="s">
        <v>517</v>
      </c>
      <c r="S80" s="205">
        <v>793443.12679999997</v>
      </c>
      <c r="T80" s="205">
        <v>2187760.8119999999</v>
      </c>
      <c r="U80" s="205">
        <v>793487.67150000005</v>
      </c>
      <c r="V80" s="205">
        <v>2187743.7489999998</v>
      </c>
      <c r="W80" s="205"/>
      <c r="X80" s="205"/>
      <c r="Y80" s="205"/>
      <c r="Z80" s="205"/>
      <c r="AA80" s="205"/>
      <c r="AB80" s="205" t="s">
        <v>514</v>
      </c>
      <c r="AC80" s="205" t="s">
        <v>516</v>
      </c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>
        <v>0</v>
      </c>
      <c r="B81" s="219">
        <v>0</v>
      </c>
      <c r="C81" s="205" t="s">
        <v>505</v>
      </c>
      <c r="D81" s="205" t="s">
        <v>516</v>
      </c>
      <c r="E81" s="191">
        <v>52.4</v>
      </c>
      <c r="F81" s="205" t="s">
        <v>514</v>
      </c>
      <c r="G81" s="205"/>
      <c r="H81" s="205"/>
      <c r="I81" s="205"/>
      <c r="J81"/>
      <c r="K81"/>
      <c r="L81" s="205"/>
      <c r="M81" s="205"/>
      <c r="N81" s="205"/>
      <c r="O81" s="191">
        <v>4.5</v>
      </c>
      <c r="P81" s="191">
        <v>3.5</v>
      </c>
      <c r="Q81" s="205" t="s">
        <v>518</v>
      </c>
      <c r="R81" s="205" t="s">
        <v>519</v>
      </c>
      <c r="S81" s="205">
        <v>793487.67150000005</v>
      </c>
      <c r="T81" s="205">
        <v>2187743.7489999998</v>
      </c>
      <c r="U81" s="205">
        <v>793536.62289999996</v>
      </c>
      <c r="V81" s="205">
        <v>2187725.04</v>
      </c>
      <c r="W81" s="205"/>
      <c r="X81" s="205"/>
      <c r="Y81" s="205"/>
      <c r="Z81" s="205"/>
      <c r="AA81" s="205"/>
      <c r="AB81" s="205" t="s">
        <v>516</v>
      </c>
      <c r="AC81" s="205" t="s">
        <v>518</v>
      </c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>
        <v>0</v>
      </c>
      <c r="B82" s="219">
        <v>0</v>
      </c>
      <c r="C82" s="205" t="s">
        <v>505</v>
      </c>
      <c r="D82" s="205" t="s">
        <v>518</v>
      </c>
      <c r="E82" s="191">
        <v>52.94</v>
      </c>
      <c r="F82" s="205" t="s">
        <v>516</v>
      </c>
      <c r="G82" s="205"/>
      <c r="H82" s="205"/>
      <c r="I82" s="205"/>
      <c r="J82"/>
      <c r="K82"/>
      <c r="L82" s="205"/>
      <c r="M82" s="205"/>
      <c r="N82" s="205"/>
      <c r="O82" s="191">
        <v>3.5</v>
      </c>
      <c r="P82" s="191">
        <v>2.74</v>
      </c>
      <c r="Q82" s="205" t="s">
        <v>520</v>
      </c>
      <c r="R82" s="205" t="s">
        <v>521</v>
      </c>
      <c r="S82" s="205">
        <v>793536.62289999996</v>
      </c>
      <c r="T82" s="205">
        <v>2187725.04</v>
      </c>
      <c r="U82" s="205">
        <v>793586.36710000003</v>
      </c>
      <c r="V82" s="205">
        <v>2187706.9130000002</v>
      </c>
      <c r="W82" s="205"/>
      <c r="X82" s="205"/>
      <c r="Y82" s="205"/>
      <c r="Z82" s="205"/>
      <c r="AA82" s="205"/>
      <c r="AB82" s="205" t="s">
        <v>518</v>
      </c>
      <c r="AC82" s="205" t="s">
        <v>520</v>
      </c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>
        <v>0</v>
      </c>
      <c r="B83" s="219">
        <v>0</v>
      </c>
      <c r="C83" s="205" t="s">
        <v>505</v>
      </c>
      <c r="D83" s="205" t="s">
        <v>520</v>
      </c>
      <c r="E83" s="191">
        <v>51.88</v>
      </c>
      <c r="F83" s="205" t="s">
        <v>518</v>
      </c>
      <c r="G83" s="205"/>
      <c r="H83" s="205"/>
      <c r="I83" s="205"/>
      <c r="J83"/>
      <c r="K83"/>
      <c r="L83" s="205"/>
      <c r="M83" s="205"/>
      <c r="N83" s="205"/>
      <c r="O83" s="191">
        <v>2.74</v>
      </c>
      <c r="P83" s="191">
        <v>2.15</v>
      </c>
      <c r="Q83" s="205" t="s">
        <v>522</v>
      </c>
      <c r="R83" s="205" t="s">
        <v>523</v>
      </c>
      <c r="S83" s="205">
        <v>793586.36710000003</v>
      </c>
      <c r="T83" s="205">
        <v>2187706.9130000002</v>
      </c>
      <c r="U83" s="205">
        <v>793635.23800000001</v>
      </c>
      <c r="V83" s="205">
        <v>2187689.5079999999</v>
      </c>
      <c r="W83" s="205"/>
      <c r="X83" s="205"/>
      <c r="Y83" s="205"/>
      <c r="Z83" s="205"/>
      <c r="AA83" s="205"/>
      <c r="AB83" s="205" t="s">
        <v>520</v>
      </c>
      <c r="AC83" s="205" t="s">
        <v>522</v>
      </c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>
        <v>0</v>
      </c>
      <c r="B84" s="219">
        <v>0</v>
      </c>
      <c r="C84" s="205" t="s">
        <v>505</v>
      </c>
      <c r="D84" s="205" t="s">
        <v>522</v>
      </c>
      <c r="E84" s="191">
        <v>67.349999999999994</v>
      </c>
      <c r="F84" s="205" t="s">
        <v>520</v>
      </c>
      <c r="G84" s="205"/>
      <c r="H84" s="205"/>
      <c r="I84" s="205"/>
      <c r="J84"/>
      <c r="K84"/>
      <c r="L84" s="205"/>
      <c r="M84" s="205"/>
      <c r="N84" s="205"/>
      <c r="O84" s="191">
        <v>2.15</v>
      </c>
      <c r="P84" s="191">
        <v>1.1000000000000001</v>
      </c>
      <c r="Q84" s="205" t="s">
        <v>389</v>
      </c>
      <c r="R84" s="205" t="s">
        <v>524</v>
      </c>
      <c r="S84" s="205">
        <v>793635.23800000001</v>
      </c>
      <c r="T84" s="205">
        <v>2187689.5079999999</v>
      </c>
      <c r="U84" s="205">
        <v>793697.99029999995</v>
      </c>
      <c r="V84" s="205">
        <v>2187665.0580000002</v>
      </c>
      <c r="W84" s="205"/>
      <c r="X84" s="205"/>
      <c r="Y84" s="205"/>
      <c r="Z84" s="205"/>
      <c r="AA84" s="205"/>
      <c r="AB84" s="205" t="s">
        <v>522</v>
      </c>
      <c r="AC84" s="205" t="s">
        <v>389</v>
      </c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>
        <v>0</v>
      </c>
      <c r="B85" s="219">
        <v>1</v>
      </c>
      <c r="C85" s="205" t="s">
        <v>505</v>
      </c>
      <c r="D85" s="205" t="s">
        <v>389</v>
      </c>
      <c r="E85" s="191">
        <v>56.85</v>
      </c>
      <c r="F85" s="205" t="s">
        <v>522</v>
      </c>
      <c r="G85" s="205"/>
      <c r="H85" s="205"/>
      <c r="I85" s="205"/>
      <c r="J85"/>
      <c r="K85"/>
      <c r="L85" s="205"/>
      <c r="M85" s="205"/>
      <c r="N85" s="205"/>
      <c r="O85" s="191">
        <v>1.1000000000000001</v>
      </c>
      <c r="P85" s="191">
        <v>1</v>
      </c>
      <c r="Q85" s="205" t="s">
        <v>387</v>
      </c>
      <c r="R85" s="205" t="s">
        <v>525</v>
      </c>
      <c r="S85" s="205">
        <v>793697.99029999995</v>
      </c>
      <c r="T85" s="205">
        <v>2187665.0580000002</v>
      </c>
      <c r="U85" s="205">
        <v>793752.55229999998</v>
      </c>
      <c r="V85" s="205">
        <v>2187649.0989999999</v>
      </c>
      <c r="W85" s="205"/>
      <c r="X85" s="205"/>
      <c r="Y85" s="205"/>
      <c r="Z85" s="205"/>
      <c r="AA85" s="205"/>
      <c r="AB85" s="205" t="s">
        <v>389</v>
      </c>
      <c r="AC85" s="205" t="s">
        <v>387</v>
      </c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>
        <v>1</v>
      </c>
      <c r="B86" s="219">
        <v>0</v>
      </c>
      <c r="C86" s="205" t="s">
        <v>526</v>
      </c>
      <c r="D86" s="205" t="s">
        <v>527</v>
      </c>
      <c r="E86" s="191">
        <v>43.1</v>
      </c>
      <c r="F86" s="205"/>
      <c r="G86" s="205"/>
      <c r="H86" s="205"/>
      <c r="I86" s="205"/>
      <c r="J86"/>
      <c r="K86"/>
      <c r="L86" s="205"/>
      <c r="M86" s="205"/>
      <c r="N86" s="205"/>
      <c r="O86" s="191">
        <v>1</v>
      </c>
      <c r="P86" s="191">
        <v>1.19</v>
      </c>
      <c r="Q86" s="205" t="s">
        <v>528</v>
      </c>
      <c r="R86" s="205" t="s">
        <v>529</v>
      </c>
      <c r="S86" s="205">
        <v>793818.9179</v>
      </c>
      <c r="T86" s="205">
        <v>2188049.611</v>
      </c>
      <c r="U86" s="205">
        <v>793811.51049999997</v>
      </c>
      <c r="V86" s="205">
        <v>2188007.1540000001</v>
      </c>
      <c r="W86" s="205"/>
      <c r="X86" s="205"/>
      <c r="Y86" s="205"/>
      <c r="Z86" s="205"/>
      <c r="AA86" s="205"/>
      <c r="AB86" s="205" t="s">
        <v>527</v>
      </c>
      <c r="AC86" s="205" t="s">
        <v>528</v>
      </c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>
        <v>0</v>
      </c>
      <c r="B87" s="219">
        <v>0</v>
      </c>
      <c r="C87" s="205" t="s">
        <v>526</v>
      </c>
      <c r="D87" s="205" t="s">
        <v>528</v>
      </c>
      <c r="E87" s="191">
        <v>71.260000000000005</v>
      </c>
      <c r="F87" s="205" t="s">
        <v>527</v>
      </c>
      <c r="G87" s="205"/>
      <c r="H87" s="205"/>
      <c r="I87" s="205"/>
      <c r="J87"/>
      <c r="K87"/>
      <c r="L87" s="205"/>
      <c r="M87" s="205"/>
      <c r="N87" s="205"/>
      <c r="O87" s="191">
        <v>1.19</v>
      </c>
      <c r="P87" s="191">
        <v>1</v>
      </c>
      <c r="Q87" s="205" t="s">
        <v>530</v>
      </c>
      <c r="R87" s="205" t="s">
        <v>531</v>
      </c>
      <c r="S87" s="205">
        <v>793811.51049999997</v>
      </c>
      <c r="T87" s="205">
        <v>2188007.1540000001</v>
      </c>
      <c r="U87" s="205">
        <v>793799.22499999998</v>
      </c>
      <c r="V87" s="205">
        <v>2187936.9640000002</v>
      </c>
      <c r="W87" s="205"/>
      <c r="X87" s="205"/>
      <c r="Y87" s="205"/>
      <c r="Z87" s="205"/>
      <c r="AA87" s="205"/>
      <c r="AB87" s="205" t="s">
        <v>528</v>
      </c>
      <c r="AC87" s="205" t="s">
        <v>530</v>
      </c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>
        <v>0</v>
      </c>
      <c r="B88" s="219">
        <v>0</v>
      </c>
      <c r="C88" s="205" t="s">
        <v>526</v>
      </c>
      <c r="D88" s="205" t="s">
        <v>530</v>
      </c>
      <c r="E88" s="191">
        <v>56.49</v>
      </c>
      <c r="F88" s="205" t="s">
        <v>528</v>
      </c>
      <c r="G88" s="205"/>
      <c r="H88" s="205"/>
      <c r="I88" s="205"/>
      <c r="J88"/>
      <c r="K88"/>
      <c r="L88" s="205"/>
      <c r="M88" s="205"/>
      <c r="N88" s="205"/>
      <c r="O88" s="191">
        <v>1</v>
      </c>
      <c r="P88" s="191">
        <v>1</v>
      </c>
      <c r="Q88" s="205" t="s">
        <v>532</v>
      </c>
      <c r="R88" s="205" t="s">
        <v>533</v>
      </c>
      <c r="S88" s="205">
        <v>793799.22499999998</v>
      </c>
      <c r="T88" s="205">
        <v>2187936.9640000002</v>
      </c>
      <c r="U88" s="205">
        <v>793791.41110000003</v>
      </c>
      <c r="V88" s="205">
        <v>2187881.017</v>
      </c>
      <c r="W88" s="205"/>
      <c r="X88" s="205"/>
      <c r="Y88" s="205"/>
      <c r="Z88" s="205"/>
      <c r="AA88" s="205"/>
      <c r="AB88" s="205" t="s">
        <v>530</v>
      </c>
      <c r="AC88" s="205" t="s">
        <v>532</v>
      </c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>
        <v>0</v>
      </c>
      <c r="B89" s="219">
        <v>0</v>
      </c>
      <c r="C89" s="205" t="s">
        <v>526</v>
      </c>
      <c r="D89" s="205" t="s">
        <v>532</v>
      </c>
      <c r="E89" s="191">
        <v>56.03</v>
      </c>
      <c r="F89" s="205" t="s">
        <v>530</v>
      </c>
      <c r="G89" s="205"/>
      <c r="H89" s="205"/>
      <c r="I89" s="205"/>
      <c r="J89"/>
      <c r="K89"/>
      <c r="L89" s="205"/>
      <c r="M89" s="205"/>
      <c r="N89" s="205"/>
      <c r="O89" s="191">
        <v>1</v>
      </c>
      <c r="P89" s="191">
        <v>0.81</v>
      </c>
      <c r="Q89" s="205" t="s">
        <v>420</v>
      </c>
      <c r="R89" s="205" t="s">
        <v>534</v>
      </c>
      <c r="S89" s="205">
        <v>793791.41110000003</v>
      </c>
      <c r="T89" s="205">
        <v>2187881.017</v>
      </c>
      <c r="U89" s="205">
        <v>793846.80119999999</v>
      </c>
      <c r="V89" s="205">
        <v>2187872.571</v>
      </c>
      <c r="W89" s="205"/>
      <c r="X89" s="205"/>
      <c r="Y89" s="205"/>
      <c r="Z89" s="205"/>
      <c r="AA89" s="205"/>
      <c r="AB89" s="205" t="s">
        <v>532</v>
      </c>
      <c r="AC89" s="205" t="s">
        <v>420</v>
      </c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>
        <v>0</v>
      </c>
      <c r="B90" s="219">
        <v>1</v>
      </c>
      <c r="C90" s="205" t="s">
        <v>526</v>
      </c>
      <c r="D90" s="205" t="s">
        <v>420</v>
      </c>
      <c r="E90" s="191">
        <v>41.09</v>
      </c>
      <c r="F90" s="205" t="s">
        <v>532</v>
      </c>
      <c r="G90" s="205" t="s">
        <v>419</v>
      </c>
      <c r="H90" s="205"/>
      <c r="I90" s="205"/>
      <c r="J90" s="205"/>
      <c r="K90" s="205"/>
      <c r="L90" s="205"/>
      <c r="M90" s="205"/>
      <c r="N90" s="205"/>
      <c r="O90" s="191">
        <v>0.81</v>
      </c>
      <c r="P90" s="191">
        <v>0.69</v>
      </c>
      <c r="Q90" s="205" t="s">
        <v>439</v>
      </c>
      <c r="R90" s="205" t="s">
        <v>535</v>
      </c>
      <c r="S90" s="205">
        <v>793846.80119999999</v>
      </c>
      <c r="T90" s="205">
        <v>2187872.571</v>
      </c>
      <c r="U90" s="205">
        <v>793887.15049999999</v>
      </c>
      <c r="V90" s="205">
        <v>2187864.8020000001</v>
      </c>
      <c r="W90" s="205"/>
      <c r="X90" s="205"/>
      <c r="Y90" s="205"/>
      <c r="Z90" s="205"/>
      <c r="AA90" s="205"/>
      <c r="AB90" s="205" t="s">
        <v>420</v>
      </c>
      <c r="AC90" s="205" t="s">
        <v>439</v>
      </c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0"/>
      <c r="BJ90" s="200"/>
      <c r="BK90" s="200"/>
      <c r="BL90" s="200"/>
      <c r="BM90" s="200"/>
      <c r="BN90" s="200"/>
      <c r="BO90" s="200"/>
      <c r="BP90" s="200"/>
      <c r="BQ90" s="200"/>
      <c r="BR90" s="200"/>
      <c r="BS90" s="200"/>
      <c r="BT90" s="200"/>
      <c r="BU90" s="200"/>
      <c r="BV90" s="200"/>
      <c r="BW90" s="200"/>
      <c r="BX90" s="200"/>
      <c r="BY90" s="200"/>
      <c r="BZ90" s="200"/>
      <c r="CA90" s="200"/>
      <c r="CB90" s="200"/>
      <c r="CC90" s="200"/>
      <c r="CD90" s="200"/>
      <c r="CE90" s="200"/>
      <c r="CF90" s="200"/>
      <c r="CG90" s="200"/>
      <c r="CH90" s="200"/>
      <c r="CI90" s="200"/>
      <c r="CJ90" s="200"/>
      <c r="CK90" s="200"/>
      <c r="CL90" s="200"/>
      <c r="CM90" s="200"/>
      <c r="CN90" s="200"/>
      <c r="CO90" s="200"/>
      <c r="CP90" s="200"/>
      <c r="CQ90" s="200"/>
      <c r="CR90" s="200"/>
      <c r="CS90" s="200"/>
      <c r="CT90" s="200"/>
      <c r="CU90" s="200"/>
      <c r="CV90" s="200"/>
    </row>
    <row r="91" spans="1:100" x14ac:dyDescent="0.2">
      <c r="A91" s="219">
        <v>0</v>
      </c>
      <c r="B91" s="219">
        <v>0</v>
      </c>
      <c r="C91" s="205" t="s">
        <v>526</v>
      </c>
      <c r="D91" s="205" t="s">
        <v>536</v>
      </c>
      <c r="E91" s="191">
        <v>56.09</v>
      </c>
      <c r="F91" s="205"/>
      <c r="G91" s="205" t="s">
        <v>537</v>
      </c>
      <c r="H91" s="205"/>
      <c r="I91" s="205" t="s">
        <v>538</v>
      </c>
      <c r="J91" s="205">
        <v>1566</v>
      </c>
      <c r="K91" s="205">
        <v>443</v>
      </c>
      <c r="L91" s="205"/>
      <c r="M91" s="205"/>
      <c r="N91" s="205"/>
      <c r="O91" s="191">
        <v>2.34</v>
      </c>
      <c r="P91" s="191">
        <v>1.1100000000000001</v>
      </c>
      <c r="Q91" s="205" t="s">
        <v>390</v>
      </c>
      <c r="R91" s="205" t="s">
        <v>539</v>
      </c>
      <c r="S91" s="205">
        <v>793779.41969999997</v>
      </c>
      <c r="T91" s="205">
        <v>2187727.2829999998</v>
      </c>
      <c r="U91" s="205">
        <v>793764.90989999997</v>
      </c>
      <c r="V91" s="205">
        <v>2187673.1030000001</v>
      </c>
      <c r="W91" s="205"/>
      <c r="X91" s="205"/>
      <c r="Y91" s="205"/>
      <c r="Z91" s="205"/>
      <c r="AA91" s="205"/>
      <c r="AB91" s="205" t="s">
        <v>536</v>
      </c>
      <c r="AC91" s="205" t="s">
        <v>390</v>
      </c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0"/>
      <c r="BJ91" s="200"/>
      <c r="BK91" s="200"/>
      <c r="BL91" s="200"/>
      <c r="BM91" s="200"/>
      <c r="BN91" s="200"/>
      <c r="BO91" s="200"/>
      <c r="BP91" s="200"/>
      <c r="BQ91" s="200"/>
      <c r="BR91" s="200"/>
      <c r="BS91" s="200"/>
      <c r="BT91" s="200"/>
      <c r="BU91" s="200"/>
      <c r="BV91" s="200"/>
      <c r="BW91" s="200"/>
      <c r="BX91" s="200"/>
      <c r="BY91" s="200"/>
      <c r="BZ91" s="200"/>
      <c r="CA91" s="200"/>
      <c r="CB91" s="200"/>
      <c r="CC91" s="200"/>
      <c r="CD91" s="200"/>
      <c r="CE91" s="200"/>
      <c r="CF91" s="200"/>
      <c r="CG91" s="200"/>
      <c r="CH91" s="200"/>
      <c r="CI91" s="200"/>
      <c r="CJ91" s="200"/>
      <c r="CK91" s="200"/>
      <c r="CL91" s="200"/>
      <c r="CM91" s="200"/>
      <c r="CN91" s="200"/>
      <c r="CO91" s="200"/>
      <c r="CP91" s="200"/>
      <c r="CQ91" s="200"/>
      <c r="CR91" s="200"/>
      <c r="CS91" s="200"/>
      <c r="CT91" s="200"/>
      <c r="CU91" s="200"/>
      <c r="CV91" s="200"/>
    </row>
    <row r="92" spans="1:100" x14ac:dyDescent="0.2">
      <c r="A92" s="219">
        <v>0</v>
      </c>
      <c r="B92" s="219">
        <v>1</v>
      </c>
      <c r="C92" s="205" t="s">
        <v>526</v>
      </c>
      <c r="D92" s="205" t="s">
        <v>390</v>
      </c>
      <c r="E92" s="191">
        <v>27</v>
      </c>
      <c r="F92" s="205" t="s">
        <v>536</v>
      </c>
      <c r="G92" s="205"/>
      <c r="H92" s="205"/>
      <c r="I92" s="205"/>
      <c r="J92"/>
      <c r="K92"/>
      <c r="L92" s="205"/>
      <c r="M92" s="205"/>
      <c r="N92" s="205"/>
      <c r="O92" s="191">
        <v>1.1100000000000001</v>
      </c>
      <c r="P92" s="191">
        <v>1</v>
      </c>
      <c r="Q92" s="205" t="s">
        <v>387</v>
      </c>
      <c r="R92" s="205" t="s">
        <v>540</v>
      </c>
      <c r="S92" s="205">
        <v>793764.90989999997</v>
      </c>
      <c r="T92" s="205">
        <v>2187673.1030000001</v>
      </c>
      <c r="U92" s="205">
        <v>793752.55229999998</v>
      </c>
      <c r="V92" s="205">
        <v>2187649.0989999999</v>
      </c>
      <c r="W92" s="205"/>
      <c r="X92" s="205"/>
      <c r="Y92" s="205"/>
      <c r="Z92" s="205"/>
      <c r="AA92" s="205"/>
      <c r="AB92" s="205" t="s">
        <v>390</v>
      </c>
      <c r="AC92" s="205" t="s">
        <v>387</v>
      </c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>
        <v>1</v>
      </c>
      <c r="B93" s="219">
        <v>0</v>
      </c>
      <c r="C93" s="205" t="s">
        <v>541</v>
      </c>
      <c r="D93" s="205" t="s">
        <v>542</v>
      </c>
      <c r="E93" s="191">
        <v>47.17</v>
      </c>
      <c r="F93" s="205"/>
      <c r="G93" s="205"/>
      <c r="H93" s="205"/>
      <c r="I93" s="205" t="s">
        <v>543</v>
      </c>
      <c r="J93">
        <v>1025</v>
      </c>
      <c r="K93">
        <v>435</v>
      </c>
      <c r="L93" s="205"/>
      <c r="M93" s="205">
        <v>1</v>
      </c>
      <c r="N93" s="205"/>
      <c r="O93" s="191">
        <v>1.77</v>
      </c>
      <c r="P93" s="191">
        <v>1.29</v>
      </c>
      <c r="Q93" s="205" t="s">
        <v>544</v>
      </c>
      <c r="R93" s="205" t="s">
        <v>545</v>
      </c>
      <c r="S93" s="205">
        <v>793767.83920000005</v>
      </c>
      <c r="T93" s="205">
        <v>2188056.801</v>
      </c>
      <c r="U93" s="205">
        <v>793761.30779999995</v>
      </c>
      <c r="V93" s="205">
        <v>2188010.0869999998</v>
      </c>
      <c r="W93" s="205"/>
      <c r="X93" s="205"/>
      <c r="Y93" s="205"/>
      <c r="Z93" s="205"/>
      <c r="AA93" s="205"/>
      <c r="AB93" s="205" t="s">
        <v>542</v>
      </c>
      <c r="AC93" s="205" t="s">
        <v>544</v>
      </c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>
        <v>0</v>
      </c>
      <c r="B94" s="219">
        <v>0</v>
      </c>
      <c r="C94" s="205" t="s">
        <v>541</v>
      </c>
      <c r="D94" s="205" t="s">
        <v>544</v>
      </c>
      <c r="E94" s="191">
        <v>68.010000000000005</v>
      </c>
      <c r="F94" s="205" t="s">
        <v>542</v>
      </c>
      <c r="G94" s="205"/>
      <c r="H94" s="205"/>
      <c r="I94" s="205"/>
      <c r="J94" s="205"/>
      <c r="K94" s="205"/>
      <c r="L94" s="205"/>
      <c r="M94" s="205">
        <v>1</v>
      </c>
      <c r="N94" s="205"/>
      <c r="O94" s="191">
        <v>1.29</v>
      </c>
      <c r="P94" s="191">
        <v>1</v>
      </c>
      <c r="Q94" s="205" t="s">
        <v>546</v>
      </c>
      <c r="R94" s="205" t="s">
        <v>547</v>
      </c>
      <c r="S94" s="205">
        <v>793761.30779999995</v>
      </c>
      <c r="T94" s="205">
        <v>2188010.0869999998</v>
      </c>
      <c r="U94" s="205">
        <v>793750.70039999997</v>
      </c>
      <c r="V94" s="205">
        <v>2187942.9109999998</v>
      </c>
      <c r="W94" s="205"/>
      <c r="X94" s="205"/>
      <c r="Y94" s="205"/>
      <c r="Z94" s="205"/>
      <c r="AA94" s="205"/>
      <c r="AB94" s="205" t="s">
        <v>544</v>
      </c>
      <c r="AC94" s="205" t="s">
        <v>546</v>
      </c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0"/>
      <c r="BK94" s="200"/>
      <c r="BL94" s="200"/>
      <c r="BM94" s="200"/>
      <c r="BN94" s="200"/>
      <c r="BO94" s="200"/>
      <c r="BP94" s="200"/>
      <c r="BQ94" s="200"/>
      <c r="BR94" s="200"/>
      <c r="BS94" s="200"/>
      <c r="BT94" s="200"/>
      <c r="BU94" s="200"/>
      <c r="BV94" s="200"/>
      <c r="BW94" s="200"/>
      <c r="BX94" s="200"/>
      <c r="BY94" s="200"/>
      <c r="BZ94" s="200"/>
      <c r="CA94" s="200"/>
      <c r="CB94" s="200"/>
      <c r="CC94" s="200"/>
      <c r="CD94" s="200"/>
      <c r="CE94" s="200"/>
      <c r="CF94" s="200"/>
      <c r="CG94" s="200"/>
      <c r="CH94" s="200"/>
      <c r="CI94" s="200"/>
      <c r="CJ94" s="200"/>
      <c r="CK94" s="200"/>
      <c r="CL94" s="200"/>
      <c r="CM94" s="200"/>
      <c r="CN94" s="200"/>
      <c r="CO94" s="200"/>
      <c r="CP94" s="200"/>
      <c r="CQ94" s="200"/>
      <c r="CR94" s="200"/>
      <c r="CS94" s="200"/>
      <c r="CT94" s="200"/>
      <c r="CU94" s="200"/>
      <c r="CV94" s="200"/>
    </row>
    <row r="95" spans="1:100" x14ac:dyDescent="0.2">
      <c r="A95" s="219">
        <v>0</v>
      </c>
      <c r="B95" s="219">
        <v>0</v>
      </c>
      <c r="C95" s="205" t="s">
        <v>541</v>
      </c>
      <c r="D95" s="205" t="s">
        <v>546</v>
      </c>
      <c r="E95" s="191">
        <v>56.97</v>
      </c>
      <c r="F95" s="205" t="s">
        <v>544</v>
      </c>
      <c r="G95" s="205" t="s">
        <v>404</v>
      </c>
      <c r="H95" s="205"/>
      <c r="I95" s="205"/>
      <c r="J95"/>
      <c r="K95"/>
      <c r="L95" s="205"/>
      <c r="M95" s="205">
        <v>1</v>
      </c>
      <c r="N95" s="205"/>
      <c r="O95" s="191">
        <v>1</v>
      </c>
      <c r="P95" s="191">
        <v>1</v>
      </c>
      <c r="Q95" s="205" t="s">
        <v>408</v>
      </c>
      <c r="R95" s="205" t="s">
        <v>548</v>
      </c>
      <c r="S95" s="205">
        <v>793750.70039999997</v>
      </c>
      <c r="T95" s="205">
        <v>2187942.9109999998</v>
      </c>
      <c r="U95" s="205">
        <v>793743.54890000005</v>
      </c>
      <c r="V95" s="205">
        <v>2187886.392</v>
      </c>
      <c r="W95" s="205"/>
      <c r="X95" s="205"/>
      <c r="Y95" s="205"/>
      <c r="Z95" s="205"/>
      <c r="AA95" s="205"/>
      <c r="AB95" s="205" t="s">
        <v>546</v>
      </c>
      <c r="AC95" s="205" t="s">
        <v>408</v>
      </c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>
        <v>0</v>
      </c>
      <c r="B96" s="219">
        <v>0</v>
      </c>
      <c r="C96" s="205" t="s">
        <v>541</v>
      </c>
      <c r="D96" s="205" t="s">
        <v>408</v>
      </c>
      <c r="E96" s="191">
        <v>37.75</v>
      </c>
      <c r="F96" s="205" t="s">
        <v>546</v>
      </c>
      <c r="G96" s="205" t="s">
        <v>407</v>
      </c>
      <c r="H96" s="205"/>
      <c r="I96" s="205"/>
      <c r="J96"/>
      <c r="K96"/>
      <c r="L96" s="205"/>
      <c r="M96" s="205">
        <v>1</v>
      </c>
      <c r="N96" s="205"/>
      <c r="O96" s="191">
        <v>1</v>
      </c>
      <c r="P96" s="191">
        <v>1</v>
      </c>
      <c r="Q96" s="205" t="s">
        <v>549</v>
      </c>
      <c r="R96" s="205" t="s">
        <v>550</v>
      </c>
      <c r="S96" s="205">
        <v>793743.54890000005</v>
      </c>
      <c r="T96" s="205">
        <v>2187886.392</v>
      </c>
      <c r="U96" s="205">
        <v>793738.8737</v>
      </c>
      <c r="V96" s="205">
        <v>2187848.9309999999</v>
      </c>
      <c r="W96" s="205"/>
      <c r="X96" s="205"/>
      <c r="Y96" s="205"/>
      <c r="Z96" s="205"/>
      <c r="AA96" s="205"/>
      <c r="AB96" s="205" t="s">
        <v>408</v>
      </c>
      <c r="AC96" s="205" t="s">
        <v>549</v>
      </c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>
        <v>0</v>
      </c>
      <c r="B97" s="219">
        <v>0</v>
      </c>
      <c r="C97" s="205" t="s">
        <v>541</v>
      </c>
      <c r="D97" s="205" t="s">
        <v>549</v>
      </c>
      <c r="E97" s="191">
        <v>54.56</v>
      </c>
      <c r="F97" s="205" t="s">
        <v>408</v>
      </c>
      <c r="G97" s="205"/>
      <c r="H97" s="205"/>
      <c r="I97" s="205"/>
      <c r="J97"/>
      <c r="K97"/>
      <c r="L97" s="205"/>
      <c r="M97" s="205"/>
      <c r="N97" s="205"/>
      <c r="O97" s="191">
        <v>1</v>
      </c>
      <c r="P97" s="191">
        <v>1.36</v>
      </c>
      <c r="Q97" s="205" t="s">
        <v>551</v>
      </c>
      <c r="R97" s="205" t="s">
        <v>552</v>
      </c>
      <c r="S97" s="205">
        <v>793738.8737</v>
      </c>
      <c r="T97" s="205">
        <v>2187848.9309999999</v>
      </c>
      <c r="U97" s="205">
        <v>793730.03509999998</v>
      </c>
      <c r="V97" s="205">
        <v>2187795.0959999999</v>
      </c>
      <c r="W97" s="205"/>
      <c r="X97" s="205"/>
      <c r="Y97" s="205"/>
      <c r="Z97" s="205"/>
      <c r="AA97" s="205"/>
      <c r="AB97" s="205" t="s">
        <v>549</v>
      </c>
      <c r="AC97" s="205" t="s">
        <v>551</v>
      </c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>
        <v>0</v>
      </c>
      <c r="B98" s="219">
        <v>0</v>
      </c>
      <c r="C98" s="205" t="s">
        <v>541</v>
      </c>
      <c r="D98" s="205" t="s">
        <v>551</v>
      </c>
      <c r="E98" s="191">
        <v>43.22</v>
      </c>
      <c r="F98" s="205" t="s">
        <v>549</v>
      </c>
      <c r="G98" s="205"/>
      <c r="H98" s="205"/>
      <c r="I98" s="205"/>
      <c r="J98"/>
      <c r="K98"/>
      <c r="L98" s="205"/>
      <c r="M98" s="205"/>
      <c r="N98" s="205"/>
      <c r="O98" s="191">
        <v>1.36</v>
      </c>
      <c r="P98" s="191">
        <v>1.73</v>
      </c>
      <c r="Q98" s="205" t="s">
        <v>553</v>
      </c>
      <c r="R98" s="205" t="s">
        <v>554</v>
      </c>
      <c r="S98" s="205">
        <v>793730.03509999998</v>
      </c>
      <c r="T98" s="205">
        <v>2187795.0959999999</v>
      </c>
      <c r="U98" s="205">
        <v>793724.85959999997</v>
      </c>
      <c r="V98" s="205">
        <v>2187752.1830000002</v>
      </c>
      <c r="W98" s="205"/>
      <c r="X98" s="205"/>
      <c r="Y98" s="205"/>
      <c r="Z98" s="205"/>
      <c r="AA98" s="205"/>
      <c r="AB98" s="205" t="s">
        <v>551</v>
      </c>
      <c r="AC98" s="205" t="s">
        <v>553</v>
      </c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>
        <v>0</v>
      </c>
      <c r="B99" s="219">
        <v>0</v>
      </c>
      <c r="C99" s="205" t="s">
        <v>541</v>
      </c>
      <c r="D99" s="205" t="s">
        <v>553</v>
      </c>
      <c r="E99" s="191">
        <v>55.05</v>
      </c>
      <c r="F99" s="205" t="s">
        <v>551</v>
      </c>
      <c r="G99" s="205"/>
      <c r="H99" s="205"/>
      <c r="I99" s="205" t="s">
        <v>555</v>
      </c>
      <c r="J99" s="205">
        <v>2276</v>
      </c>
      <c r="K99" s="205">
        <v>655</v>
      </c>
      <c r="L99" s="205"/>
      <c r="M99" s="205"/>
      <c r="N99" s="205"/>
      <c r="O99" s="191">
        <v>1.73</v>
      </c>
      <c r="P99" s="191">
        <v>2.42</v>
      </c>
      <c r="Q99" s="205" t="s">
        <v>537</v>
      </c>
      <c r="R99" s="205" t="s">
        <v>556</v>
      </c>
      <c r="S99" s="205">
        <v>793724.85959999997</v>
      </c>
      <c r="T99" s="205">
        <v>2187752.1830000002</v>
      </c>
      <c r="U99" s="205">
        <v>793779.84869999997</v>
      </c>
      <c r="V99" s="205">
        <v>2187749.5950000002</v>
      </c>
      <c r="W99" s="205"/>
      <c r="X99" s="205"/>
      <c r="Y99" s="205"/>
      <c r="Z99" s="205"/>
      <c r="AA99" s="205"/>
      <c r="AB99" s="205" t="s">
        <v>553</v>
      </c>
      <c r="AC99" s="205" t="s">
        <v>537</v>
      </c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0"/>
      <c r="BH99" s="200"/>
      <c r="BJ99" s="200"/>
      <c r="BK99" s="200"/>
      <c r="BL99" s="200"/>
      <c r="BM99" s="200"/>
      <c r="BN99" s="200"/>
      <c r="BO99" s="200"/>
      <c r="BP99" s="200"/>
      <c r="BQ99" s="200"/>
      <c r="BR99" s="200"/>
      <c r="BS99" s="200"/>
      <c r="BT99" s="200"/>
      <c r="BU99" s="200"/>
      <c r="BV99" s="200"/>
      <c r="BW99" s="200"/>
      <c r="BX99" s="200"/>
      <c r="BY99" s="200"/>
      <c r="BZ99" s="200"/>
      <c r="CA99" s="200"/>
      <c r="CB99" s="200"/>
      <c r="CC99" s="200"/>
      <c r="CD99" s="200"/>
      <c r="CE99" s="200"/>
      <c r="CF99" s="200"/>
      <c r="CG99" s="200"/>
      <c r="CH99" s="200"/>
      <c r="CI99" s="200"/>
      <c r="CJ99" s="200"/>
      <c r="CK99" s="200"/>
      <c r="CL99" s="200"/>
      <c r="CM99" s="200"/>
      <c r="CN99" s="200"/>
      <c r="CO99" s="200"/>
      <c r="CP99" s="200"/>
      <c r="CQ99" s="200"/>
      <c r="CR99" s="200"/>
      <c r="CS99" s="200"/>
      <c r="CT99" s="200"/>
      <c r="CU99" s="200"/>
      <c r="CV99" s="200"/>
    </row>
    <row r="100" spans="1:100" x14ac:dyDescent="0.2">
      <c r="A100" s="219">
        <v>0</v>
      </c>
      <c r="B100" s="219">
        <v>1</v>
      </c>
      <c r="C100" s="205" t="s">
        <v>541</v>
      </c>
      <c r="D100" s="205" t="s">
        <v>537</v>
      </c>
      <c r="E100" s="191">
        <v>22.32</v>
      </c>
      <c r="F100" s="205" t="s">
        <v>553</v>
      </c>
      <c r="G100" s="205"/>
      <c r="H100" s="205"/>
      <c r="I100" s="205"/>
      <c r="J100"/>
      <c r="K100"/>
      <c r="L100" s="205"/>
      <c r="M100" s="205"/>
      <c r="N100" s="205"/>
      <c r="O100" s="191">
        <v>2.42</v>
      </c>
      <c r="P100" s="191">
        <v>2.34</v>
      </c>
      <c r="Q100" s="205" t="s">
        <v>536</v>
      </c>
      <c r="R100" s="205" t="s">
        <v>557</v>
      </c>
      <c r="S100" s="205">
        <v>793779.84869999997</v>
      </c>
      <c r="T100" s="205">
        <v>2187749.5950000002</v>
      </c>
      <c r="U100" s="205">
        <v>793779.41969999997</v>
      </c>
      <c r="V100" s="205">
        <v>2187727.2829999998</v>
      </c>
      <c r="W100" s="205"/>
      <c r="X100" s="205"/>
      <c r="Y100" s="205"/>
      <c r="Z100" s="205"/>
      <c r="AA100" s="205"/>
      <c r="AB100" s="205" t="s">
        <v>537</v>
      </c>
      <c r="AC100" s="205" t="s">
        <v>536</v>
      </c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>
        <v>1</v>
      </c>
      <c r="B101" s="219">
        <v>0</v>
      </c>
      <c r="C101" s="205" t="s">
        <v>558</v>
      </c>
      <c r="D101" s="205" t="s">
        <v>559</v>
      </c>
      <c r="E101" s="191">
        <v>72.37</v>
      </c>
      <c r="F101" s="205"/>
      <c r="G101" s="205"/>
      <c r="H101" s="205"/>
      <c r="I101" s="205"/>
      <c r="J101"/>
      <c r="K101"/>
      <c r="L101" s="205"/>
      <c r="M101" s="205">
        <v>1</v>
      </c>
      <c r="N101" s="205"/>
      <c r="O101" s="191">
        <v>3.28</v>
      </c>
      <c r="P101" s="191">
        <v>1.5</v>
      </c>
      <c r="Q101" s="205" t="s">
        <v>404</v>
      </c>
      <c r="R101" s="205" t="s">
        <v>560</v>
      </c>
      <c r="S101" s="205">
        <v>793714.98820000002</v>
      </c>
      <c r="T101" s="205">
        <v>2188020.4780000001</v>
      </c>
      <c r="U101" s="205">
        <v>793704.50939999998</v>
      </c>
      <c r="V101" s="205">
        <v>2187948.8730000001</v>
      </c>
      <c r="W101" s="205"/>
      <c r="X101" s="205"/>
      <c r="Y101" s="205"/>
      <c r="Z101" s="205"/>
      <c r="AA101" s="205"/>
      <c r="AB101" s="205" t="s">
        <v>559</v>
      </c>
      <c r="AC101" s="205" t="s">
        <v>404</v>
      </c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>
        <v>0</v>
      </c>
      <c r="B102" s="219">
        <v>1</v>
      </c>
      <c r="C102" s="205" t="s">
        <v>558</v>
      </c>
      <c r="D102" s="205" t="s">
        <v>404</v>
      </c>
      <c r="E102" s="191">
        <v>46.57</v>
      </c>
      <c r="F102" s="205" t="s">
        <v>559</v>
      </c>
      <c r="G102" s="205" t="s">
        <v>402</v>
      </c>
      <c r="H102" s="205"/>
      <c r="I102" s="205"/>
      <c r="J102"/>
      <c r="K102"/>
      <c r="L102" s="205"/>
      <c r="M102" s="205">
        <v>1</v>
      </c>
      <c r="N102" s="205"/>
      <c r="O102" s="191">
        <v>1.5</v>
      </c>
      <c r="P102" s="191">
        <v>1</v>
      </c>
      <c r="Q102" s="205" t="s">
        <v>546</v>
      </c>
      <c r="R102" s="205" t="s">
        <v>561</v>
      </c>
      <c r="S102" s="205">
        <v>793704.50939999998</v>
      </c>
      <c r="T102" s="205">
        <v>2187948.8730000001</v>
      </c>
      <c r="U102" s="205">
        <v>793750.70039999997</v>
      </c>
      <c r="V102" s="205">
        <v>2187942.9109999998</v>
      </c>
      <c r="W102" s="205"/>
      <c r="X102" s="205"/>
      <c r="Y102" s="205"/>
      <c r="Z102" s="205"/>
      <c r="AA102" s="205"/>
      <c r="AB102" s="205" t="s">
        <v>404</v>
      </c>
      <c r="AC102" s="205" t="s">
        <v>546</v>
      </c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>
        <v>1</v>
      </c>
      <c r="B103" s="219">
        <v>0</v>
      </c>
      <c r="C103" s="205" t="s">
        <v>562</v>
      </c>
      <c r="D103" s="205" t="s">
        <v>563</v>
      </c>
      <c r="E103" s="191">
        <v>52.51</v>
      </c>
      <c r="F103" s="205"/>
      <c r="G103" s="205"/>
      <c r="H103" s="205"/>
      <c r="I103" s="205"/>
      <c r="J103"/>
      <c r="K103"/>
      <c r="L103" s="205"/>
      <c r="M103" s="205"/>
      <c r="N103" s="205"/>
      <c r="O103" s="191">
        <v>12.12</v>
      </c>
      <c r="P103" s="191">
        <v>10.14</v>
      </c>
      <c r="Q103" s="205" t="s">
        <v>564</v>
      </c>
      <c r="R103" s="205" t="s">
        <v>565</v>
      </c>
      <c r="S103" s="205">
        <v>793133.34</v>
      </c>
      <c r="T103" s="205">
        <v>2187601.0260000001</v>
      </c>
      <c r="U103" s="205">
        <v>793182.30130000005</v>
      </c>
      <c r="V103" s="205">
        <v>2187582.0550000002</v>
      </c>
      <c r="W103" s="205"/>
      <c r="X103" s="205"/>
      <c r="Y103" s="205"/>
      <c r="Z103" s="205"/>
      <c r="AA103" s="205"/>
      <c r="AB103" s="205" t="s">
        <v>563</v>
      </c>
      <c r="AC103" s="205" t="s">
        <v>564</v>
      </c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>
        <v>0</v>
      </c>
      <c r="B104" s="219">
        <v>0</v>
      </c>
      <c r="C104" s="205" t="s">
        <v>562</v>
      </c>
      <c r="D104" s="205" t="s">
        <v>564</v>
      </c>
      <c r="E104" s="191">
        <v>45.89</v>
      </c>
      <c r="F104" s="205" t="s">
        <v>563</v>
      </c>
      <c r="G104" s="205"/>
      <c r="H104" s="205"/>
      <c r="I104" s="205"/>
      <c r="J104"/>
      <c r="K104"/>
      <c r="L104" s="205"/>
      <c r="M104" s="205"/>
      <c r="N104" s="205"/>
      <c r="O104" s="191">
        <v>10.14</v>
      </c>
      <c r="P104" s="191">
        <v>8.69</v>
      </c>
      <c r="Q104" s="205" t="s">
        <v>566</v>
      </c>
      <c r="R104" s="205" t="s">
        <v>567</v>
      </c>
      <c r="S104" s="205">
        <v>793182.30130000005</v>
      </c>
      <c r="T104" s="205">
        <v>2187582.0550000002</v>
      </c>
      <c r="U104" s="205">
        <v>793224.75840000005</v>
      </c>
      <c r="V104" s="205">
        <v>2187564.6510000001</v>
      </c>
      <c r="W104" s="205"/>
      <c r="X104" s="205"/>
      <c r="Y104" s="205"/>
      <c r="Z104" s="205"/>
      <c r="AA104" s="205"/>
      <c r="AB104" s="205" t="s">
        <v>564</v>
      </c>
      <c r="AC104" s="205" t="s">
        <v>566</v>
      </c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>
        <v>0</v>
      </c>
      <c r="B105" s="219">
        <v>0</v>
      </c>
      <c r="C105" s="205" t="s">
        <v>562</v>
      </c>
      <c r="D105" s="205" t="s">
        <v>566</v>
      </c>
      <c r="E105" s="191">
        <v>48.02</v>
      </c>
      <c r="F105" s="205" t="s">
        <v>564</v>
      </c>
      <c r="G105" s="205"/>
      <c r="H105" s="205"/>
      <c r="I105" s="205"/>
      <c r="J105"/>
      <c r="K105"/>
      <c r="L105" s="205"/>
      <c r="M105" s="205"/>
      <c r="N105" s="205"/>
      <c r="O105" s="191">
        <v>8.69</v>
      </c>
      <c r="P105" s="191">
        <v>8.2899999999999991</v>
      </c>
      <c r="Q105" s="205" t="s">
        <v>568</v>
      </c>
      <c r="R105" s="205" t="s">
        <v>569</v>
      </c>
      <c r="S105" s="205">
        <v>793224.75840000005</v>
      </c>
      <c r="T105" s="205">
        <v>2187564.6510000001</v>
      </c>
      <c r="U105" s="205">
        <v>793270.04610000004</v>
      </c>
      <c r="V105" s="205">
        <v>2187548.6919999998</v>
      </c>
      <c r="W105" s="205"/>
      <c r="X105" s="205"/>
      <c r="Y105" s="205"/>
      <c r="Z105" s="205"/>
      <c r="AA105" s="205"/>
      <c r="AB105" s="205" t="s">
        <v>566</v>
      </c>
      <c r="AC105" s="205" t="s">
        <v>568</v>
      </c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>
        <v>0</v>
      </c>
      <c r="B106" s="219">
        <v>0</v>
      </c>
      <c r="C106" s="205" t="s">
        <v>562</v>
      </c>
      <c r="D106" s="205" t="s">
        <v>568</v>
      </c>
      <c r="E106" s="191">
        <v>46.37</v>
      </c>
      <c r="F106" s="205" t="s">
        <v>566</v>
      </c>
      <c r="G106" s="205"/>
      <c r="H106" s="205"/>
      <c r="I106" s="205"/>
      <c r="J106"/>
      <c r="K106"/>
      <c r="L106" s="205"/>
      <c r="M106" s="205"/>
      <c r="N106" s="205"/>
      <c r="O106" s="191">
        <v>8.2899999999999991</v>
      </c>
      <c r="P106" s="191">
        <v>7.68</v>
      </c>
      <c r="Q106" s="205" t="s">
        <v>570</v>
      </c>
      <c r="R106" s="205" t="s">
        <v>571</v>
      </c>
      <c r="S106" s="205">
        <v>793270.04610000004</v>
      </c>
      <c r="T106" s="205">
        <v>2187548.6919999998</v>
      </c>
      <c r="U106" s="205">
        <v>793314.29639999999</v>
      </c>
      <c r="V106" s="205">
        <v>2187534.8229999999</v>
      </c>
      <c r="W106" s="205"/>
      <c r="X106" s="205"/>
      <c r="Y106" s="205"/>
      <c r="Z106" s="205"/>
      <c r="AA106" s="205"/>
      <c r="AB106" s="205" t="s">
        <v>568</v>
      </c>
      <c r="AC106" s="205" t="s">
        <v>570</v>
      </c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>
        <v>0</v>
      </c>
      <c r="B107" s="219">
        <v>0</v>
      </c>
      <c r="C107" s="205" t="s">
        <v>562</v>
      </c>
      <c r="D107" s="205" t="s">
        <v>570</v>
      </c>
      <c r="E107" s="191">
        <v>43.86</v>
      </c>
      <c r="F107" s="205" t="s">
        <v>568</v>
      </c>
      <c r="G107" s="205"/>
      <c r="H107" s="205"/>
      <c r="I107" s="205"/>
      <c r="J107"/>
      <c r="K107"/>
      <c r="L107" s="205"/>
      <c r="M107" s="205"/>
      <c r="N107" s="205"/>
      <c r="O107" s="191">
        <v>7.68</v>
      </c>
      <c r="P107" s="191">
        <v>6.47</v>
      </c>
      <c r="Q107" s="205" t="s">
        <v>572</v>
      </c>
      <c r="R107" s="205" t="s">
        <v>573</v>
      </c>
      <c r="S107" s="205">
        <v>793314.29639999999</v>
      </c>
      <c r="T107" s="205">
        <v>2187534.8229999999</v>
      </c>
      <c r="U107" s="205">
        <v>793299.19400000002</v>
      </c>
      <c r="V107" s="205">
        <v>2187493.648</v>
      </c>
      <c r="W107" s="205"/>
      <c r="X107" s="205"/>
      <c r="Y107" s="205"/>
      <c r="Z107" s="205"/>
      <c r="AA107" s="205"/>
      <c r="AB107" s="205" t="s">
        <v>570</v>
      </c>
      <c r="AC107" s="205" t="s">
        <v>572</v>
      </c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>
        <v>0</v>
      </c>
      <c r="B108" s="219">
        <v>0</v>
      </c>
      <c r="C108" s="205" t="s">
        <v>562</v>
      </c>
      <c r="D108" s="205" t="s">
        <v>572</v>
      </c>
      <c r="E108" s="191">
        <v>49.71</v>
      </c>
      <c r="F108" s="205" t="s">
        <v>570</v>
      </c>
      <c r="G108" s="205" t="s">
        <v>574</v>
      </c>
      <c r="H108" s="205"/>
      <c r="I108" s="205"/>
      <c r="J108" s="205"/>
      <c r="K108" s="205"/>
      <c r="L108" s="205"/>
      <c r="M108" s="205"/>
      <c r="N108" s="205"/>
      <c r="O108" s="191">
        <v>6.47</v>
      </c>
      <c r="P108" s="191">
        <v>5.04</v>
      </c>
      <c r="Q108" s="205" t="s">
        <v>575</v>
      </c>
      <c r="R108" s="205" t="s">
        <v>576</v>
      </c>
      <c r="S108" s="205">
        <v>793299.19400000002</v>
      </c>
      <c r="T108" s="205">
        <v>2187493.648</v>
      </c>
      <c r="U108" s="205">
        <v>793282.75309999997</v>
      </c>
      <c r="V108" s="205">
        <v>2187446.7340000002</v>
      </c>
      <c r="W108" s="205"/>
      <c r="X108" s="205"/>
      <c r="Y108" s="205"/>
      <c r="Z108" s="205"/>
      <c r="AA108" s="205"/>
      <c r="AB108" s="205" t="s">
        <v>572</v>
      </c>
      <c r="AC108" s="205" t="s">
        <v>575</v>
      </c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0"/>
      <c r="BJ108" s="200"/>
      <c r="BK108" s="200"/>
      <c r="BL108" s="200"/>
      <c r="BM108" s="200"/>
      <c r="BN108" s="200"/>
      <c r="BO108" s="200"/>
      <c r="BP108" s="200"/>
      <c r="BQ108" s="200"/>
      <c r="BR108" s="200"/>
      <c r="BS108" s="200"/>
      <c r="BT108" s="200"/>
      <c r="BU108" s="200"/>
      <c r="BV108" s="200"/>
      <c r="BW108" s="200"/>
      <c r="BX108" s="200"/>
      <c r="BY108" s="200"/>
      <c r="BZ108" s="200"/>
      <c r="CA108" s="200"/>
      <c r="CB108" s="200"/>
      <c r="CC108" s="200"/>
      <c r="CD108" s="200"/>
      <c r="CE108" s="200"/>
      <c r="CF108" s="200"/>
      <c r="CG108" s="200"/>
      <c r="CH108" s="200"/>
      <c r="CI108" s="200"/>
      <c r="CJ108" s="200"/>
      <c r="CK108" s="200"/>
      <c r="CL108" s="200"/>
      <c r="CM108" s="200"/>
      <c r="CN108" s="200"/>
      <c r="CO108" s="200"/>
      <c r="CP108" s="200"/>
      <c r="CQ108" s="200"/>
      <c r="CR108" s="200"/>
      <c r="CS108" s="200"/>
      <c r="CT108" s="200"/>
      <c r="CU108" s="200"/>
      <c r="CV108" s="200"/>
    </row>
    <row r="109" spans="1:100" x14ac:dyDescent="0.2">
      <c r="A109" s="219">
        <v>0</v>
      </c>
      <c r="B109" s="219">
        <v>0</v>
      </c>
      <c r="C109" s="205" t="s">
        <v>562</v>
      </c>
      <c r="D109" s="205" t="s">
        <v>575</v>
      </c>
      <c r="E109" s="191">
        <v>43.93</v>
      </c>
      <c r="F109" s="205" t="s">
        <v>572</v>
      </c>
      <c r="G109" s="205" t="s">
        <v>577</v>
      </c>
      <c r="H109" s="205"/>
      <c r="I109" s="205"/>
      <c r="J109"/>
      <c r="K109"/>
      <c r="L109" s="205"/>
      <c r="M109" s="205"/>
      <c r="N109" s="205"/>
      <c r="O109" s="191">
        <v>5.04</v>
      </c>
      <c r="P109" s="191">
        <v>4.0999999999999996</v>
      </c>
      <c r="Q109" s="205" t="s">
        <v>578</v>
      </c>
      <c r="R109" s="205" t="s">
        <v>579</v>
      </c>
      <c r="S109" s="205">
        <v>793282.75309999997</v>
      </c>
      <c r="T109" s="205">
        <v>2187446.7340000002</v>
      </c>
      <c r="U109" s="205">
        <v>793267.81779999996</v>
      </c>
      <c r="V109" s="205">
        <v>2187405.4210000001</v>
      </c>
      <c r="W109" s="205"/>
      <c r="X109" s="205"/>
      <c r="Y109" s="205"/>
      <c r="Z109" s="205"/>
      <c r="AA109" s="205"/>
      <c r="AB109" s="205" t="s">
        <v>575</v>
      </c>
      <c r="AC109" s="205" t="s">
        <v>578</v>
      </c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>
        <v>0</v>
      </c>
      <c r="B110" s="219">
        <v>0</v>
      </c>
      <c r="C110" s="205" t="s">
        <v>562</v>
      </c>
      <c r="D110" s="205" t="s">
        <v>578</v>
      </c>
      <c r="E110" s="191">
        <v>49.01</v>
      </c>
      <c r="F110" s="205" t="s">
        <v>575</v>
      </c>
      <c r="G110" s="205" t="s">
        <v>580</v>
      </c>
      <c r="H110" s="205"/>
      <c r="I110" s="205"/>
      <c r="J110"/>
      <c r="K110"/>
      <c r="L110" s="205"/>
      <c r="M110" s="205"/>
      <c r="N110" s="205"/>
      <c r="O110" s="191">
        <v>4.0999999999999996</v>
      </c>
      <c r="P110" s="191">
        <v>3.37</v>
      </c>
      <c r="Q110" s="205" t="s">
        <v>581</v>
      </c>
      <c r="R110" s="205" t="s">
        <v>582</v>
      </c>
      <c r="S110" s="205">
        <v>793267.81779999996</v>
      </c>
      <c r="T110" s="205">
        <v>2187405.4210000001</v>
      </c>
      <c r="U110" s="205">
        <v>793253.06319999998</v>
      </c>
      <c r="V110" s="205">
        <v>2187358.6880000001</v>
      </c>
      <c r="W110" s="205"/>
      <c r="X110" s="205"/>
      <c r="Y110" s="205"/>
      <c r="Z110" s="205"/>
      <c r="AA110" s="205"/>
      <c r="AB110" s="205" t="s">
        <v>578</v>
      </c>
      <c r="AC110" s="205" t="s">
        <v>581</v>
      </c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>
        <v>0</v>
      </c>
      <c r="B111" s="219">
        <v>0</v>
      </c>
      <c r="C111" s="205" t="s">
        <v>562</v>
      </c>
      <c r="D111" s="205" t="s">
        <v>581</v>
      </c>
      <c r="E111" s="191">
        <v>46.07</v>
      </c>
      <c r="F111" s="205" t="s">
        <v>578</v>
      </c>
      <c r="G111" s="205" t="s">
        <v>583</v>
      </c>
      <c r="H111" s="205"/>
      <c r="I111" s="205"/>
      <c r="J111"/>
      <c r="K111"/>
      <c r="L111" s="205"/>
      <c r="M111" s="205"/>
      <c r="N111" s="205"/>
      <c r="O111" s="191">
        <v>3.37</v>
      </c>
      <c r="P111" s="191">
        <v>2.5299999999999998</v>
      </c>
      <c r="Q111" s="205" t="s">
        <v>584</v>
      </c>
      <c r="R111" s="205" t="s">
        <v>585</v>
      </c>
      <c r="S111" s="205">
        <v>793253.06319999998</v>
      </c>
      <c r="T111" s="205">
        <v>2187358.6880000001</v>
      </c>
      <c r="U111" s="205">
        <v>793238.73019999999</v>
      </c>
      <c r="V111" s="205">
        <v>2187314.906</v>
      </c>
      <c r="W111" s="205"/>
      <c r="X111" s="205"/>
      <c r="Y111" s="205"/>
      <c r="Z111" s="205"/>
      <c r="AA111" s="205"/>
      <c r="AB111" s="205" t="s">
        <v>581</v>
      </c>
      <c r="AC111" s="205" t="s">
        <v>584</v>
      </c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>
        <v>0</v>
      </c>
      <c r="B112" s="219">
        <v>0</v>
      </c>
      <c r="C112" s="205" t="s">
        <v>562</v>
      </c>
      <c r="D112" s="205" t="s">
        <v>584</v>
      </c>
      <c r="E112" s="191">
        <v>51</v>
      </c>
      <c r="F112" s="205" t="s">
        <v>581</v>
      </c>
      <c r="G112" s="205" t="s">
        <v>586</v>
      </c>
      <c r="H112" s="205"/>
      <c r="I112" s="205"/>
      <c r="J112"/>
      <c r="K112"/>
      <c r="L112" s="205"/>
      <c r="M112" s="205"/>
      <c r="N112" s="205"/>
      <c r="O112" s="191">
        <v>2.5299999999999998</v>
      </c>
      <c r="P112" s="191">
        <v>2.11</v>
      </c>
      <c r="Q112" s="205" t="s">
        <v>587</v>
      </c>
      <c r="R112" s="205" t="s">
        <v>588</v>
      </c>
      <c r="S112" s="205">
        <v>793238.73019999999</v>
      </c>
      <c r="T112" s="205">
        <v>2187314.906</v>
      </c>
      <c r="U112" s="205">
        <v>793220.66330000001</v>
      </c>
      <c r="V112" s="205">
        <v>2187267.21</v>
      </c>
      <c r="W112" s="205"/>
      <c r="X112" s="205"/>
      <c r="Y112" s="205"/>
      <c r="Z112" s="205"/>
      <c r="AA112" s="205"/>
      <c r="AB112" s="205" t="s">
        <v>584</v>
      </c>
      <c r="AC112" s="205" t="s">
        <v>587</v>
      </c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>
        <v>0</v>
      </c>
      <c r="B113" s="219">
        <v>0</v>
      </c>
      <c r="C113" s="205" t="s">
        <v>562</v>
      </c>
      <c r="D113" s="205" t="s">
        <v>587</v>
      </c>
      <c r="E113" s="191">
        <v>48.85</v>
      </c>
      <c r="F113" s="205" t="s">
        <v>584</v>
      </c>
      <c r="G113" s="205" t="s">
        <v>589</v>
      </c>
      <c r="H113" s="205"/>
      <c r="I113" s="205"/>
      <c r="J113"/>
      <c r="K113"/>
      <c r="L113" s="205"/>
      <c r="M113" s="205"/>
      <c r="N113" s="205"/>
      <c r="O113" s="191">
        <v>2.11</v>
      </c>
      <c r="P113" s="191">
        <v>1.75</v>
      </c>
      <c r="Q113" s="205" t="s">
        <v>590</v>
      </c>
      <c r="R113" s="205" t="s">
        <v>591</v>
      </c>
      <c r="S113" s="205">
        <v>793220.66330000001</v>
      </c>
      <c r="T113" s="205">
        <v>2187267.21</v>
      </c>
      <c r="U113" s="205">
        <v>793206.45070000004</v>
      </c>
      <c r="V113" s="205">
        <v>2187220.477</v>
      </c>
      <c r="W113" s="205"/>
      <c r="X113" s="205"/>
      <c r="Y113" s="205"/>
      <c r="Z113" s="205"/>
      <c r="AA113" s="205"/>
      <c r="AB113" s="205" t="s">
        <v>587</v>
      </c>
      <c r="AC113" s="205" t="s">
        <v>590</v>
      </c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>
        <v>0</v>
      </c>
      <c r="B114" s="219">
        <v>0</v>
      </c>
      <c r="C114" s="205" t="s">
        <v>562</v>
      </c>
      <c r="D114" s="205" t="s">
        <v>590</v>
      </c>
      <c r="E114" s="191">
        <v>47.16</v>
      </c>
      <c r="F114" s="205" t="s">
        <v>587</v>
      </c>
      <c r="G114" s="205"/>
      <c r="H114" s="205"/>
      <c r="I114" s="205"/>
      <c r="J114"/>
      <c r="K114"/>
      <c r="L114" s="205"/>
      <c r="M114" s="205"/>
      <c r="N114" s="205"/>
      <c r="O114" s="191">
        <v>1.75</v>
      </c>
      <c r="P114" s="191">
        <v>2</v>
      </c>
      <c r="Q114" s="205" t="s">
        <v>592</v>
      </c>
      <c r="R114" s="205" t="s">
        <v>593</v>
      </c>
      <c r="S114" s="205">
        <v>793206.45070000004</v>
      </c>
      <c r="T114" s="205">
        <v>2187220.477</v>
      </c>
      <c r="U114" s="205">
        <v>793188.62470000004</v>
      </c>
      <c r="V114" s="205">
        <v>2187176.8149999999</v>
      </c>
      <c r="W114" s="205"/>
      <c r="X114" s="205"/>
      <c r="Y114" s="205"/>
      <c r="Z114" s="205"/>
      <c r="AA114" s="205"/>
      <c r="AB114" s="205" t="s">
        <v>590</v>
      </c>
      <c r="AC114" s="205" t="s">
        <v>592</v>
      </c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>
        <v>0</v>
      </c>
      <c r="B115" s="219">
        <v>0</v>
      </c>
      <c r="C115" s="205" t="s">
        <v>562</v>
      </c>
      <c r="D115" s="205" t="s">
        <v>592</v>
      </c>
      <c r="E115" s="191">
        <v>43.02</v>
      </c>
      <c r="F115" s="205" t="s">
        <v>590</v>
      </c>
      <c r="G115" s="205" t="s">
        <v>594</v>
      </c>
      <c r="H115" s="205"/>
      <c r="I115" s="205"/>
      <c r="J115"/>
      <c r="K115"/>
      <c r="L115" s="205"/>
      <c r="M115" s="205"/>
      <c r="N115" s="205"/>
      <c r="O115" s="191">
        <v>2</v>
      </c>
      <c r="P115" s="191">
        <v>1.55</v>
      </c>
      <c r="Q115" s="205" t="s">
        <v>595</v>
      </c>
      <c r="R115" s="205" t="s">
        <v>596</v>
      </c>
      <c r="S115" s="205">
        <v>793188.62470000004</v>
      </c>
      <c r="T115" s="205">
        <v>2187176.8149999999</v>
      </c>
      <c r="U115" s="205">
        <v>793175.25520000001</v>
      </c>
      <c r="V115" s="205">
        <v>2187135.9240000001</v>
      </c>
      <c r="W115" s="205"/>
      <c r="X115" s="205"/>
      <c r="Y115" s="205"/>
      <c r="Z115" s="205"/>
      <c r="AA115" s="205"/>
      <c r="AB115" s="205" t="s">
        <v>592</v>
      </c>
      <c r="AC115" s="205" t="s">
        <v>595</v>
      </c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>
        <v>0</v>
      </c>
      <c r="B116" s="219">
        <v>0</v>
      </c>
      <c r="C116" s="205" t="s">
        <v>562</v>
      </c>
      <c r="D116" s="205" t="s">
        <v>595</v>
      </c>
      <c r="E116" s="191">
        <v>29.3</v>
      </c>
      <c r="F116" s="205" t="s">
        <v>592</v>
      </c>
      <c r="G116" s="205"/>
      <c r="H116" s="205"/>
      <c r="I116" s="205"/>
      <c r="J116"/>
      <c r="K116"/>
      <c r="L116" s="205"/>
      <c r="M116" s="205"/>
      <c r="N116" s="205"/>
      <c r="O116" s="191">
        <v>1.55</v>
      </c>
      <c r="P116" s="191">
        <v>1.85</v>
      </c>
      <c r="Q116" s="205" t="s">
        <v>597</v>
      </c>
      <c r="R116" s="205" t="s">
        <v>598</v>
      </c>
      <c r="S116" s="205">
        <v>793175.25520000001</v>
      </c>
      <c r="T116" s="205">
        <v>2187135.9240000001</v>
      </c>
      <c r="U116" s="205">
        <v>793201.99419999996</v>
      </c>
      <c r="V116" s="205">
        <v>2187123.9389999998</v>
      </c>
      <c r="W116" s="205"/>
      <c r="X116" s="205"/>
      <c r="Y116" s="205"/>
      <c r="Z116" s="205"/>
      <c r="AA116" s="205"/>
      <c r="AB116" s="205" t="s">
        <v>595</v>
      </c>
      <c r="AC116" s="205" t="s">
        <v>597</v>
      </c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>
        <v>0</v>
      </c>
      <c r="B117" s="219">
        <v>0</v>
      </c>
      <c r="C117" s="205" t="s">
        <v>562</v>
      </c>
      <c r="D117" s="205" t="s">
        <v>597</v>
      </c>
      <c r="E117" s="191">
        <v>47.91</v>
      </c>
      <c r="F117" s="205" t="s">
        <v>595</v>
      </c>
      <c r="G117" s="205" t="s">
        <v>599</v>
      </c>
      <c r="H117" s="205"/>
      <c r="I117" s="205"/>
      <c r="J117"/>
      <c r="K117"/>
      <c r="L117" s="205"/>
      <c r="M117" s="205"/>
      <c r="N117" s="205"/>
      <c r="O117" s="191">
        <v>1.85</v>
      </c>
      <c r="P117" s="191">
        <v>1</v>
      </c>
      <c r="Q117" s="205" t="s">
        <v>600</v>
      </c>
      <c r="R117" s="205" t="s">
        <v>601</v>
      </c>
      <c r="S117" s="205">
        <v>793201.99419999996</v>
      </c>
      <c r="T117" s="205">
        <v>2187123.9389999998</v>
      </c>
      <c r="U117" s="205">
        <v>793247.04090000002</v>
      </c>
      <c r="V117" s="205">
        <v>2187107.6189999999</v>
      </c>
      <c r="W117" s="205"/>
      <c r="X117" s="205"/>
      <c r="Y117" s="205"/>
      <c r="Z117" s="205"/>
      <c r="AA117" s="205"/>
      <c r="AB117" s="205" t="s">
        <v>597</v>
      </c>
      <c r="AC117" s="205" t="s">
        <v>600</v>
      </c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>
        <v>0</v>
      </c>
      <c r="B118" s="219">
        <v>0</v>
      </c>
      <c r="C118" s="205" t="s">
        <v>562</v>
      </c>
      <c r="D118" s="205" t="s">
        <v>600</v>
      </c>
      <c r="E118" s="191">
        <v>52.17</v>
      </c>
      <c r="F118" s="205" t="s">
        <v>597</v>
      </c>
      <c r="G118" s="205" t="s">
        <v>602</v>
      </c>
      <c r="H118" s="205"/>
      <c r="I118" s="205"/>
      <c r="J118"/>
      <c r="K118"/>
      <c r="L118" s="205"/>
      <c r="M118" s="205"/>
      <c r="N118" s="205"/>
      <c r="O118" s="191">
        <v>1</v>
      </c>
      <c r="P118" s="191">
        <v>1</v>
      </c>
      <c r="Q118" s="205" t="s">
        <v>603</v>
      </c>
      <c r="R118" s="205" t="s">
        <v>604</v>
      </c>
      <c r="S118" s="205">
        <v>793247.04090000002</v>
      </c>
      <c r="T118" s="205">
        <v>2187107.6189999999</v>
      </c>
      <c r="U118" s="205">
        <v>793297.14639999997</v>
      </c>
      <c r="V118" s="205">
        <v>2187093.105</v>
      </c>
      <c r="W118" s="205"/>
      <c r="X118" s="205"/>
      <c r="Y118" s="205"/>
      <c r="Z118" s="205"/>
      <c r="AA118" s="205"/>
      <c r="AB118" s="205" t="s">
        <v>600</v>
      </c>
      <c r="AC118" s="205" t="s">
        <v>603</v>
      </c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>
        <v>0</v>
      </c>
      <c r="B119" s="219">
        <v>0</v>
      </c>
      <c r="C119" s="205" t="s">
        <v>562</v>
      </c>
      <c r="D119" s="205" t="s">
        <v>603</v>
      </c>
      <c r="E119" s="191">
        <v>41.56</v>
      </c>
      <c r="F119" s="205" t="s">
        <v>600</v>
      </c>
      <c r="G119" s="205"/>
      <c r="H119" s="205"/>
      <c r="I119" s="205"/>
      <c r="J119"/>
      <c r="K119"/>
      <c r="L119" s="205"/>
      <c r="M119" s="205"/>
      <c r="N119" s="205"/>
      <c r="O119" s="191">
        <v>1</v>
      </c>
      <c r="P119" s="191">
        <v>1.02</v>
      </c>
      <c r="Q119" s="205" t="s">
        <v>605</v>
      </c>
      <c r="R119" s="205" t="s">
        <v>606</v>
      </c>
      <c r="S119" s="205">
        <v>793297.14639999997</v>
      </c>
      <c r="T119" s="205">
        <v>2187093.105</v>
      </c>
      <c r="U119" s="205">
        <v>793336.35149999999</v>
      </c>
      <c r="V119" s="205">
        <v>2187079.3139999998</v>
      </c>
      <c r="W119" s="205"/>
      <c r="X119" s="205"/>
      <c r="Y119" s="205"/>
      <c r="Z119" s="205"/>
      <c r="AA119" s="205"/>
      <c r="AB119" s="205" t="s">
        <v>603</v>
      </c>
      <c r="AC119" s="205" t="s">
        <v>605</v>
      </c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>
        <v>0</v>
      </c>
      <c r="B120" s="219">
        <v>0</v>
      </c>
      <c r="C120" s="205" t="s">
        <v>562</v>
      </c>
      <c r="D120" s="205" t="s">
        <v>605</v>
      </c>
      <c r="E120" s="191">
        <v>20.64</v>
      </c>
      <c r="F120" s="205" t="s">
        <v>603</v>
      </c>
      <c r="G120" s="205"/>
      <c r="H120" s="205"/>
      <c r="I120" s="205"/>
      <c r="J120"/>
      <c r="K120"/>
      <c r="L120" s="205"/>
      <c r="M120" s="205"/>
      <c r="N120" s="205"/>
      <c r="O120" s="191">
        <v>1.02</v>
      </c>
      <c r="P120" s="191">
        <v>1.05</v>
      </c>
      <c r="Q120" s="205" t="s">
        <v>607</v>
      </c>
      <c r="R120" s="205" t="s">
        <v>608</v>
      </c>
      <c r="S120" s="205">
        <v>793336.35149999999</v>
      </c>
      <c r="T120" s="205">
        <v>2187079.3139999998</v>
      </c>
      <c r="U120" s="205">
        <v>793355.5024</v>
      </c>
      <c r="V120" s="205">
        <v>2187071.6060000001</v>
      </c>
      <c r="W120" s="205"/>
      <c r="X120" s="205"/>
      <c r="Y120" s="205"/>
      <c r="Z120" s="205"/>
      <c r="AA120" s="205"/>
      <c r="AB120" s="205" t="s">
        <v>605</v>
      </c>
      <c r="AC120" s="205" t="s">
        <v>607</v>
      </c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>
        <v>0</v>
      </c>
      <c r="B121" s="219">
        <v>0</v>
      </c>
      <c r="C121" s="205" t="s">
        <v>562</v>
      </c>
      <c r="D121" s="205" t="s">
        <v>607</v>
      </c>
      <c r="E121" s="191">
        <v>91.4</v>
      </c>
      <c r="F121" s="205" t="s">
        <v>605</v>
      </c>
      <c r="G121" s="205" t="s">
        <v>609</v>
      </c>
      <c r="H121" s="205"/>
      <c r="I121" s="205"/>
      <c r="J121" s="205"/>
      <c r="K121" s="205"/>
      <c r="L121" s="205"/>
      <c r="M121" s="205"/>
      <c r="N121" s="205"/>
      <c r="O121" s="191">
        <v>1.05</v>
      </c>
      <c r="P121" s="191">
        <v>1</v>
      </c>
      <c r="Q121" s="205" t="s">
        <v>610</v>
      </c>
      <c r="R121" s="205" t="s">
        <v>611</v>
      </c>
      <c r="S121" s="205">
        <v>793355.5024</v>
      </c>
      <c r="T121" s="205">
        <v>2187071.6060000001</v>
      </c>
      <c r="U121" s="205">
        <v>793439.63390000002</v>
      </c>
      <c r="V121" s="205">
        <v>2187035.8939999999</v>
      </c>
      <c r="W121" s="205"/>
      <c r="X121" s="205"/>
      <c r="Y121" s="205"/>
      <c r="Z121" s="205"/>
      <c r="AA121" s="205"/>
      <c r="AB121" s="205" t="s">
        <v>607</v>
      </c>
      <c r="AC121" s="205" t="s">
        <v>610</v>
      </c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0"/>
      <c r="BJ121" s="200"/>
      <c r="BK121" s="200"/>
      <c r="BL121" s="200"/>
      <c r="BM121" s="200"/>
      <c r="BN121" s="200"/>
      <c r="BO121" s="200"/>
      <c r="BP121" s="200"/>
      <c r="BQ121" s="200"/>
      <c r="BR121" s="200"/>
      <c r="BS121" s="200"/>
      <c r="BT121" s="200"/>
      <c r="BU121" s="200"/>
      <c r="BV121" s="200"/>
      <c r="BW121" s="200"/>
      <c r="BX121" s="200"/>
      <c r="BY121" s="200"/>
      <c r="BZ121" s="200"/>
      <c r="CA121" s="200"/>
      <c r="CB121" s="200"/>
      <c r="CC121" s="200"/>
      <c r="CD121" s="200"/>
      <c r="CE121" s="200"/>
      <c r="CF121" s="200"/>
      <c r="CG121" s="200"/>
      <c r="CH121" s="200"/>
      <c r="CI121" s="200"/>
      <c r="CJ121" s="200"/>
      <c r="CK121" s="200"/>
      <c r="CL121" s="200"/>
      <c r="CM121" s="200"/>
      <c r="CN121" s="200"/>
      <c r="CO121" s="200"/>
      <c r="CP121" s="200"/>
      <c r="CQ121" s="200"/>
      <c r="CR121" s="200"/>
      <c r="CS121" s="200"/>
      <c r="CT121" s="200"/>
      <c r="CU121" s="200"/>
      <c r="CV121" s="200"/>
    </row>
    <row r="122" spans="1:100" x14ac:dyDescent="0.2">
      <c r="A122" s="219">
        <v>0</v>
      </c>
      <c r="B122" s="219">
        <v>0</v>
      </c>
      <c r="C122" s="205" t="s">
        <v>562</v>
      </c>
      <c r="D122" s="205" t="s">
        <v>610</v>
      </c>
      <c r="E122" s="191">
        <v>24.79</v>
      </c>
      <c r="F122" s="205" t="s">
        <v>607</v>
      </c>
      <c r="G122" s="205" t="s">
        <v>612</v>
      </c>
      <c r="H122" s="205"/>
      <c r="I122" s="205"/>
      <c r="J122"/>
      <c r="K122"/>
      <c r="L122" s="205"/>
      <c r="M122" s="205"/>
      <c r="N122" s="205"/>
      <c r="O122" s="191">
        <v>1</v>
      </c>
      <c r="P122" s="191">
        <v>1.0900000000000001</v>
      </c>
      <c r="Q122" s="205" t="s">
        <v>613</v>
      </c>
      <c r="R122" s="205" t="s">
        <v>614</v>
      </c>
      <c r="S122" s="205">
        <v>793439.63390000002</v>
      </c>
      <c r="T122" s="205">
        <v>2187035.8939999999</v>
      </c>
      <c r="U122" s="205">
        <v>793463.05130000005</v>
      </c>
      <c r="V122" s="205">
        <v>2187027.7629999998</v>
      </c>
      <c r="W122" s="205"/>
      <c r="X122" s="205"/>
      <c r="Y122" s="205"/>
      <c r="Z122" s="205"/>
      <c r="AA122" s="205"/>
      <c r="AB122" s="205" t="s">
        <v>610</v>
      </c>
      <c r="AC122" s="205" t="s">
        <v>613</v>
      </c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>
        <v>0</v>
      </c>
      <c r="B123" s="219">
        <v>1</v>
      </c>
      <c r="C123" s="205" t="s">
        <v>562</v>
      </c>
      <c r="D123" s="205" t="s">
        <v>613</v>
      </c>
      <c r="E123" s="191">
        <v>12.72</v>
      </c>
      <c r="F123" s="205" t="s">
        <v>610</v>
      </c>
      <c r="G123" s="205" t="s">
        <v>615</v>
      </c>
      <c r="H123" s="205" t="s">
        <v>616</v>
      </c>
      <c r="I123" s="205"/>
      <c r="J123"/>
      <c r="K123"/>
      <c r="L123" s="205"/>
      <c r="M123" s="205"/>
      <c r="N123" s="205"/>
      <c r="O123" s="191">
        <v>1.0900000000000001</v>
      </c>
      <c r="P123" s="191">
        <v>0.54</v>
      </c>
      <c r="Q123" s="205"/>
      <c r="R123" s="205" t="s">
        <v>617</v>
      </c>
      <c r="S123" s="205">
        <v>793463.05130000005</v>
      </c>
      <c r="T123" s="205">
        <v>2187027.7629999998</v>
      </c>
      <c r="U123" s="205">
        <v>793474.98470000003</v>
      </c>
      <c r="V123" s="205">
        <v>2187023.3670000001</v>
      </c>
      <c r="W123" s="205"/>
      <c r="X123" s="205"/>
      <c r="Y123" s="205"/>
      <c r="Z123" s="205"/>
      <c r="AA123" s="205"/>
      <c r="AB123" s="205" t="s">
        <v>613</v>
      </c>
      <c r="AC123" s="205" t="s">
        <v>618</v>
      </c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>
        <v>1</v>
      </c>
      <c r="B124" s="219">
        <v>1</v>
      </c>
      <c r="C124" s="205" t="s">
        <v>619</v>
      </c>
      <c r="D124" s="205" t="s">
        <v>602</v>
      </c>
      <c r="E124" s="191">
        <v>41.73</v>
      </c>
      <c r="F124" s="205"/>
      <c r="G124" s="205"/>
      <c r="H124" s="205"/>
      <c r="I124" s="205"/>
      <c r="J124"/>
      <c r="K124"/>
      <c r="L124" s="205"/>
      <c r="M124" s="205"/>
      <c r="N124" s="205"/>
      <c r="O124" s="191">
        <v>1</v>
      </c>
      <c r="P124" s="191">
        <v>1</v>
      </c>
      <c r="Q124" s="205" t="s">
        <v>600</v>
      </c>
      <c r="R124" s="205" t="s">
        <v>620</v>
      </c>
      <c r="S124" s="205">
        <v>793262.27729999996</v>
      </c>
      <c r="T124" s="205">
        <v>2187146.463</v>
      </c>
      <c r="U124" s="205">
        <v>793247.04090000002</v>
      </c>
      <c r="V124" s="205">
        <v>2187107.6189999999</v>
      </c>
      <c r="W124" s="205"/>
      <c r="X124" s="205"/>
      <c r="Y124" s="205"/>
      <c r="Z124" s="205"/>
      <c r="AA124" s="205"/>
      <c r="AB124" s="205" t="s">
        <v>602</v>
      </c>
      <c r="AC124" s="205" t="s">
        <v>600</v>
      </c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>
        <v>1</v>
      </c>
      <c r="B125" s="219">
        <v>0</v>
      </c>
      <c r="C125" s="205" t="s">
        <v>621</v>
      </c>
      <c r="D125" s="205" t="s">
        <v>622</v>
      </c>
      <c r="E125" s="191">
        <v>47.85</v>
      </c>
      <c r="F125" s="205"/>
      <c r="G125" s="205"/>
      <c r="H125" s="205"/>
      <c r="I125" s="205"/>
      <c r="J125"/>
      <c r="K125"/>
      <c r="L125" s="205"/>
      <c r="M125" s="205"/>
      <c r="N125" s="205"/>
      <c r="O125" s="191">
        <v>1.73</v>
      </c>
      <c r="P125" s="191">
        <v>1.39</v>
      </c>
      <c r="Q125" s="205" t="s">
        <v>623</v>
      </c>
      <c r="R125" s="205" t="s">
        <v>624</v>
      </c>
      <c r="S125" s="205">
        <v>793237.97739999997</v>
      </c>
      <c r="T125" s="205">
        <v>2187210.3590000002</v>
      </c>
      <c r="U125" s="205">
        <v>793283.62639999995</v>
      </c>
      <c r="V125" s="205">
        <v>2187196.0260000001</v>
      </c>
      <c r="W125" s="205"/>
      <c r="X125" s="205"/>
      <c r="Y125" s="205"/>
      <c r="Z125" s="205"/>
      <c r="AA125" s="205"/>
      <c r="AB125" s="205" t="s">
        <v>622</v>
      </c>
      <c r="AC125" s="205" t="s">
        <v>623</v>
      </c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>
        <v>0</v>
      </c>
      <c r="B126" s="219">
        <v>1</v>
      </c>
      <c r="C126" s="205" t="s">
        <v>621</v>
      </c>
      <c r="D126" s="205" t="s">
        <v>623</v>
      </c>
      <c r="E126" s="191">
        <v>47.5</v>
      </c>
      <c r="F126" s="205" t="s">
        <v>622</v>
      </c>
      <c r="G126" s="205"/>
      <c r="H126" s="205"/>
      <c r="I126" s="205"/>
      <c r="J126"/>
      <c r="K126"/>
      <c r="L126" s="205"/>
      <c r="M126" s="205"/>
      <c r="N126" s="205"/>
      <c r="O126" s="191">
        <v>1.39</v>
      </c>
      <c r="P126" s="191">
        <v>1.21</v>
      </c>
      <c r="Q126" s="205" t="s">
        <v>625</v>
      </c>
      <c r="R126" s="205" t="s">
        <v>626</v>
      </c>
      <c r="S126" s="205">
        <v>793283.62639999995</v>
      </c>
      <c r="T126" s="205">
        <v>2187196.0260000001</v>
      </c>
      <c r="U126" s="205">
        <v>793328.22840000002</v>
      </c>
      <c r="V126" s="205">
        <v>2187179.6970000002</v>
      </c>
      <c r="W126" s="205"/>
      <c r="X126" s="205"/>
      <c r="Y126" s="205"/>
      <c r="Z126" s="205"/>
      <c r="AA126" s="205"/>
      <c r="AB126" s="205" t="s">
        <v>623</v>
      </c>
      <c r="AC126" s="205" t="s">
        <v>625</v>
      </c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>
        <v>1</v>
      </c>
      <c r="B127" s="219">
        <v>0</v>
      </c>
      <c r="C127" s="205" t="s">
        <v>627</v>
      </c>
      <c r="D127" s="205" t="s">
        <v>628</v>
      </c>
      <c r="E127" s="191">
        <v>46.21</v>
      </c>
      <c r="F127" s="205"/>
      <c r="G127" s="205"/>
      <c r="H127" s="205"/>
      <c r="I127" s="205"/>
      <c r="J127"/>
      <c r="K127"/>
      <c r="L127" s="205"/>
      <c r="M127" s="205"/>
      <c r="N127" s="205"/>
      <c r="O127" s="191">
        <v>2.0699999999999998</v>
      </c>
      <c r="P127" s="191">
        <v>1.69</v>
      </c>
      <c r="Q127" s="205" t="s">
        <v>629</v>
      </c>
      <c r="R127" s="205" t="s">
        <v>630</v>
      </c>
      <c r="S127" s="205">
        <v>793256.64650000003</v>
      </c>
      <c r="T127" s="205">
        <v>2187257.0920000002</v>
      </c>
      <c r="U127" s="205">
        <v>793300.72970000003</v>
      </c>
      <c r="V127" s="205">
        <v>2187243.2409999999</v>
      </c>
      <c r="W127" s="205"/>
      <c r="X127" s="205"/>
      <c r="Y127" s="205"/>
      <c r="Z127" s="205"/>
      <c r="AA127" s="205"/>
      <c r="AB127" s="205" t="s">
        <v>628</v>
      </c>
      <c r="AC127" s="205" t="s">
        <v>629</v>
      </c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>
        <v>0</v>
      </c>
      <c r="B128" s="219">
        <v>1</v>
      </c>
      <c r="C128" s="205" t="s">
        <v>627</v>
      </c>
      <c r="D128" s="205" t="s">
        <v>629</v>
      </c>
      <c r="E128" s="191">
        <v>47.03</v>
      </c>
      <c r="F128" s="205" t="s">
        <v>628</v>
      </c>
      <c r="G128" s="205" t="s">
        <v>631</v>
      </c>
      <c r="H128" s="205"/>
      <c r="I128" s="205"/>
      <c r="J128" s="205"/>
      <c r="K128" s="205"/>
      <c r="L128" s="205"/>
      <c r="M128" s="205"/>
      <c r="N128" s="205"/>
      <c r="O128" s="191">
        <v>1.69</v>
      </c>
      <c r="P128" s="191">
        <v>1.04</v>
      </c>
      <c r="Q128" s="205" t="s">
        <v>632</v>
      </c>
      <c r="R128" s="205" t="s">
        <v>633</v>
      </c>
      <c r="S128" s="205">
        <v>793300.72970000003</v>
      </c>
      <c r="T128" s="205">
        <v>2187243.2409999999</v>
      </c>
      <c r="U128" s="205">
        <v>793344.72250000003</v>
      </c>
      <c r="V128" s="205">
        <v>2187226.62</v>
      </c>
      <c r="W128" s="205"/>
      <c r="X128" s="205"/>
      <c r="Y128" s="205"/>
      <c r="Z128" s="205"/>
      <c r="AA128" s="205"/>
      <c r="AB128" s="205" t="s">
        <v>629</v>
      </c>
      <c r="AC128" s="205" t="s">
        <v>632</v>
      </c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0"/>
      <c r="BJ128" s="200"/>
      <c r="BK128" s="200"/>
      <c r="BL128" s="200"/>
      <c r="BM128" s="200"/>
      <c r="BN128" s="200"/>
      <c r="BO128" s="200"/>
      <c r="BP128" s="200"/>
      <c r="BQ128" s="200"/>
      <c r="BR128" s="200"/>
      <c r="BS128" s="200"/>
      <c r="BT128" s="200"/>
      <c r="BU128" s="200"/>
      <c r="BV128" s="200"/>
      <c r="BW128" s="200"/>
      <c r="BX128" s="200"/>
      <c r="BY128" s="200"/>
      <c r="BZ128" s="200"/>
      <c r="CA128" s="200"/>
      <c r="CB128" s="200"/>
      <c r="CC128" s="200"/>
      <c r="CD128" s="200"/>
      <c r="CE128" s="200"/>
      <c r="CF128" s="200"/>
      <c r="CG128" s="200"/>
      <c r="CH128" s="200"/>
      <c r="CI128" s="200"/>
      <c r="CJ128" s="200"/>
      <c r="CK128" s="200"/>
      <c r="CL128" s="200"/>
      <c r="CM128" s="200"/>
      <c r="CN128" s="200"/>
      <c r="CP128" s="200"/>
      <c r="CQ128" s="200"/>
      <c r="CR128" s="200"/>
      <c r="CS128" s="200"/>
      <c r="CT128" s="200"/>
      <c r="CU128" s="200"/>
      <c r="CV128" s="200"/>
    </row>
    <row r="129" spans="1:100" x14ac:dyDescent="0.2">
      <c r="A129" s="219">
        <v>1</v>
      </c>
      <c r="B129" s="219">
        <v>0</v>
      </c>
      <c r="C129" s="205" t="s">
        <v>634</v>
      </c>
      <c r="D129" s="205" t="s">
        <v>635</v>
      </c>
      <c r="E129" s="191">
        <v>44.36</v>
      </c>
      <c r="F129" s="205"/>
      <c r="G129" s="205"/>
      <c r="H129" s="205"/>
      <c r="I129" s="205"/>
      <c r="J129" s="205"/>
      <c r="K129" s="205"/>
      <c r="L129" s="205"/>
      <c r="M129" s="205"/>
      <c r="N129" s="205"/>
      <c r="O129" s="191">
        <v>3.22</v>
      </c>
      <c r="P129" s="191">
        <v>2.54</v>
      </c>
      <c r="Q129" s="205" t="s">
        <v>636</v>
      </c>
      <c r="R129" s="205" t="s">
        <v>637</v>
      </c>
      <c r="S129" s="205">
        <v>793352.28049999999</v>
      </c>
      <c r="T129" s="205">
        <v>2187371.6970000002</v>
      </c>
      <c r="U129" s="205">
        <v>793393.41280000005</v>
      </c>
      <c r="V129" s="205">
        <v>2187355.0750000002</v>
      </c>
      <c r="W129" s="205"/>
      <c r="X129" s="205"/>
      <c r="Y129" s="205"/>
      <c r="Z129" s="205"/>
      <c r="AA129" s="205"/>
      <c r="AB129" s="205" t="s">
        <v>635</v>
      </c>
      <c r="AC129" s="205" t="s">
        <v>636</v>
      </c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0"/>
      <c r="BJ129" s="200"/>
      <c r="BK129" s="200"/>
      <c r="BL129" s="200"/>
      <c r="BM129" s="200"/>
      <c r="BN129" s="200"/>
      <c r="BO129" s="200"/>
      <c r="BP129" s="200"/>
      <c r="BQ129" s="200"/>
      <c r="BR129" s="200"/>
      <c r="BS129" s="200"/>
      <c r="BT129" s="200"/>
      <c r="BU129" s="200"/>
      <c r="BV129" s="200"/>
      <c r="BW129" s="200"/>
      <c r="BX129" s="200"/>
      <c r="BY129" s="200"/>
      <c r="BZ129" s="200"/>
      <c r="CA129" s="200"/>
      <c r="CB129" s="200"/>
      <c r="CC129" s="200"/>
      <c r="CD129" s="200"/>
      <c r="CE129" s="200"/>
      <c r="CF129" s="200"/>
      <c r="CG129" s="200"/>
      <c r="CH129" s="200"/>
      <c r="CI129" s="200"/>
      <c r="CJ129" s="200"/>
      <c r="CK129" s="200"/>
      <c r="CL129" s="200"/>
      <c r="CM129" s="200"/>
      <c r="CN129" s="200"/>
      <c r="CP129" s="200"/>
      <c r="CQ129" s="200"/>
      <c r="CR129" s="200"/>
      <c r="CS129" s="200"/>
      <c r="CT129" s="200"/>
      <c r="CU129" s="200"/>
      <c r="CV129" s="200"/>
    </row>
    <row r="130" spans="1:100" x14ac:dyDescent="0.2">
      <c r="A130" s="219">
        <v>0</v>
      </c>
      <c r="B130" s="219">
        <v>1</v>
      </c>
      <c r="C130" s="205" t="s">
        <v>634</v>
      </c>
      <c r="D130" s="205" t="s">
        <v>636</v>
      </c>
      <c r="E130" s="191">
        <v>42.81</v>
      </c>
      <c r="F130" s="205" t="s">
        <v>635</v>
      </c>
      <c r="G130" s="205" t="s">
        <v>638</v>
      </c>
      <c r="H130" s="205"/>
      <c r="I130" s="205"/>
      <c r="J130"/>
      <c r="K130"/>
      <c r="L130" s="205"/>
      <c r="M130" s="205"/>
      <c r="N130" s="205"/>
      <c r="O130" s="191">
        <v>2.54</v>
      </c>
      <c r="P130" s="191">
        <v>1.92</v>
      </c>
      <c r="Q130" s="205" t="s">
        <v>639</v>
      </c>
      <c r="R130" s="205" t="s">
        <v>640</v>
      </c>
      <c r="S130" s="205">
        <v>793393.41280000005</v>
      </c>
      <c r="T130" s="205">
        <v>2187355.0750000002</v>
      </c>
      <c r="U130" s="205">
        <v>793377.66449999996</v>
      </c>
      <c r="V130" s="205">
        <v>2187315.2680000002</v>
      </c>
      <c r="W130" s="205"/>
      <c r="X130" s="205"/>
      <c r="Y130" s="205"/>
      <c r="Z130" s="205"/>
      <c r="AA130" s="205"/>
      <c r="AB130" s="205" t="s">
        <v>636</v>
      </c>
      <c r="AC130" s="205" t="s">
        <v>639</v>
      </c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>
        <v>1</v>
      </c>
      <c r="B131" s="219">
        <v>0</v>
      </c>
      <c r="C131" s="205" t="s">
        <v>641</v>
      </c>
      <c r="D131" s="205" t="s">
        <v>642</v>
      </c>
      <c r="E131" s="191">
        <v>45.94</v>
      </c>
      <c r="F131" s="205"/>
      <c r="G131" s="205"/>
      <c r="H131" s="205"/>
      <c r="I131" s="205"/>
      <c r="J131"/>
      <c r="K131"/>
      <c r="L131" s="205"/>
      <c r="M131" s="205"/>
      <c r="N131" s="205"/>
      <c r="O131" s="191">
        <v>3.8</v>
      </c>
      <c r="P131" s="191">
        <v>3.08</v>
      </c>
      <c r="Q131" s="205" t="s">
        <v>638</v>
      </c>
      <c r="R131" s="205" t="s">
        <v>643</v>
      </c>
      <c r="S131" s="205">
        <v>793428.79379999998</v>
      </c>
      <c r="T131" s="205">
        <v>2187445.108</v>
      </c>
      <c r="U131" s="205">
        <v>793413.01529999997</v>
      </c>
      <c r="V131" s="205">
        <v>2187401.9589999998</v>
      </c>
      <c r="W131" s="205"/>
      <c r="X131" s="205"/>
      <c r="Y131" s="205"/>
      <c r="Z131" s="205"/>
      <c r="AA131" s="205"/>
      <c r="AB131" s="205" t="s">
        <v>642</v>
      </c>
      <c r="AC131" s="205" t="s">
        <v>638</v>
      </c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>
        <v>0</v>
      </c>
      <c r="B132" s="219">
        <v>1</v>
      </c>
      <c r="C132" s="205" t="s">
        <v>641</v>
      </c>
      <c r="D132" s="205" t="s">
        <v>638</v>
      </c>
      <c r="E132" s="191">
        <v>50.82</v>
      </c>
      <c r="F132" s="205" t="s">
        <v>642</v>
      </c>
      <c r="G132" s="205"/>
      <c r="H132" s="205"/>
      <c r="I132" s="205"/>
      <c r="J132" s="205"/>
      <c r="K132" s="205"/>
      <c r="L132" s="205"/>
      <c r="M132" s="205"/>
      <c r="N132" s="205"/>
      <c r="O132" s="191">
        <v>3.08</v>
      </c>
      <c r="P132" s="191">
        <v>2.54</v>
      </c>
      <c r="Q132" s="205" t="s">
        <v>636</v>
      </c>
      <c r="R132" s="205" t="s">
        <v>644</v>
      </c>
      <c r="S132" s="205">
        <v>793413.01529999997</v>
      </c>
      <c r="T132" s="205">
        <v>2187401.9589999998</v>
      </c>
      <c r="U132" s="205">
        <v>793393.41280000005</v>
      </c>
      <c r="V132" s="205">
        <v>2187355.0750000002</v>
      </c>
      <c r="W132" s="205"/>
      <c r="X132" s="205"/>
      <c r="Y132" s="205"/>
      <c r="Z132" s="205"/>
      <c r="AA132" s="205"/>
      <c r="AB132" s="205" t="s">
        <v>638</v>
      </c>
      <c r="AC132" s="205" t="s">
        <v>636</v>
      </c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0"/>
      <c r="BH132" s="200"/>
      <c r="BJ132" s="200"/>
      <c r="BK132" s="200"/>
      <c r="BL132" s="200"/>
      <c r="BM132" s="200"/>
      <c r="BN132" s="200"/>
      <c r="BO132" s="200"/>
      <c r="BP132" s="200"/>
      <c r="BQ132" s="200"/>
      <c r="BR132" s="200"/>
      <c r="BS132" s="200"/>
      <c r="BT132" s="200"/>
      <c r="BU132" s="200"/>
      <c r="BV132" s="200"/>
      <c r="BW132" s="200"/>
      <c r="BX132" s="200"/>
      <c r="BY132" s="200"/>
      <c r="BZ132" s="200"/>
      <c r="CA132" s="200"/>
      <c r="CB132" s="200"/>
      <c r="CC132" s="200"/>
      <c r="CD132" s="200"/>
      <c r="CE132" s="200"/>
      <c r="CF132" s="200"/>
      <c r="CG132" s="200"/>
      <c r="CH132" s="200"/>
      <c r="CI132" s="200"/>
      <c r="CJ132" s="200"/>
      <c r="CK132" s="200"/>
      <c r="CL132" s="200"/>
      <c r="CM132" s="200"/>
      <c r="CN132" s="200"/>
      <c r="CO132" s="200"/>
      <c r="CP132" s="200"/>
      <c r="CQ132" s="200"/>
      <c r="CR132" s="200"/>
      <c r="CS132" s="200"/>
      <c r="CT132" s="200"/>
      <c r="CU132" s="200"/>
      <c r="CV132" s="200"/>
    </row>
    <row r="133" spans="1:100" x14ac:dyDescent="0.2">
      <c r="A133" s="219">
        <v>1</v>
      </c>
      <c r="B133" s="219">
        <v>0</v>
      </c>
      <c r="C133" s="205" t="s">
        <v>645</v>
      </c>
      <c r="D133" s="205" t="s">
        <v>646</v>
      </c>
      <c r="E133" s="191">
        <v>45.9</v>
      </c>
      <c r="F133" s="205"/>
      <c r="G133" s="205"/>
      <c r="H133" s="205"/>
      <c r="I133" s="205"/>
      <c r="J133" s="205"/>
      <c r="K133" s="205"/>
      <c r="L133" s="205"/>
      <c r="M133" s="205"/>
      <c r="N133" s="205"/>
      <c r="O133" s="191">
        <v>2.44</v>
      </c>
      <c r="P133" s="191">
        <v>1.62</v>
      </c>
      <c r="Q133" s="205" t="s">
        <v>631</v>
      </c>
      <c r="R133" s="205" t="s">
        <v>647</v>
      </c>
      <c r="S133" s="205">
        <v>793273.56909999996</v>
      </c>
      <c r="T133" s="205">
        <v>2187300.1519999998</v>
      </c>
      <c r="U133" s="205">
        <v>793317.05009999999</v>
      </c>
      <c r="V133" s="205">
        <v>2187285.4569999999</v>
      </c>
      <c r="W133" s="205"/>
      <c r="X133" s="205"/>
      <c r="Y133" s="205"/>
      <c r="Z133" s="205"/>
      <c r="AA133" s="205"/>
      <c r="AB133" s="205" t="s">
        <v>646</v>
      </c>
      <c r="AC133" s="205" t="s">
        <v>631</v>
      </c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0"/>
      <c r="BJ133" s="200"/>
      <c r="BK133" s="200"/>
      <c r="BL133" s="200"/>
      <c r="BM133" s="200"/>
      <c r="BN133" s="200"/>
      <c r="BO133" s="200"/>
      <c r="BP133" s="200"/>
      <c r="BQ133" s="200"/>
      <c r="BR133" s="200"/>
      <c r="BS133" s="200"/>
      <c r="BT133" s="200"/>
      <c r="BU133" s="200"/>
      <c r="BV133" s="200"/>
      <c r="BW133" s="200"/>
      <c r="BX133" s="200"/>
      <c r="BY133" s="200"/>
      <c r="BZ133" s="200"/>
      <c r="CA133" s="200"/>
      <c r="CB133" s="200"/>
      <c r="CC133" s="200"/>
      <c r="CD133" s="200"/>
      <c r="CE133" s="200"/>
      <c r="CF133" s="200"/>
      <c r="CG133" s="200"/>
      <c r="CH133" s="200"/>
      <c r="CI133" s="200"/>
      <c r="CJ133" s="200"/>
      <c r="CK133" s="200"/>
      <c r="CL133" s="200"/>
      <c r="CM133" s="200"/>
      <c r="CN133" s="200"/>
      <c r="CO133" s="200"/>
      <c r="CP133" s="200"/>
      <c r="CQ133" s="200"/>
      <c r="CR133" s="200"/>
      <c r="CS133" s="200"/>
      <c r="CT133" s="200"/>
      <c r="CU133" s="200"/>
      <c r="CV133" s="200"/>
    </row>
    <row r="134" spans="1:100" x14ac:dyDescent="0.2">
      <c r="A134" s="219">
        <v>0</v>
      </c>
      <c r="B134" s="219">
        <v>1</v>
      </c>
      <c r="C134" s="205" t="s">
        <v>645</v>
      </c>
      <c r="D134" s="205" t="s">
        <v>631</v>
      </c>
      <c r="E134" s="191">
        <v>45.26</v>
      </c>
      <c r="F134" s="205" t="s">
        <v>646</v>
      </c>
      <c r="G134" s="205"/>
      <c r="H134" s="205"/>
      <c r="I134" s="205"/>
      <c r="J134"/>
      <c r="K134"/>
      <c r="L134" s="205"/>
      <c r="M134" s="205"/>
      <c r="N134" s="205"/>
      <c r="O134" s="191">
        <v>1.62</v>
      </c>
      <c r="P134" s="191">
        <v>1.69</v>
      </c>
      <c r="Q134" s="205" t="s">
        <v>629</v>
      </c>
      <c r="R134" s="205" t="s">
        <v>648</v>
      </c>
      <c r="S134" s="205">
        <v>793317.05009999999</v>
      </c>
      <c r="T134" s="205">
        <v>2187285.4569999999</v>
      </c>
      <c r="U134" s="205">
        <v>793300.72970000003</v>
      </c>
      <c r="V134" s="205">
        <v>2187243.2409999999</v>
      </c>
      <c r="W134" s="205"/>
      <c r="X134" s="205"/>
      <c r="Y134" s="205"/>
      <c r="Z134" s="205"/>
      <c r="AA134" s="205"/>
      <c r="AB134" s="205" t="s">
        <v>631</v>
      </c>
      <c r="AC134" s="205" t="s">
        <v>629</v>
      </c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>
        <v>1</v>
      </c>
      <c r="B135" s="219">
        <v>0</v>
      </c>
      <c r="C135" s="205" t="s">
        <v>649</v>
      </c>
      <c r="D135" s="205" t="s">
        <v>650</v>
      </c>
      <c r="E135" s="191">
        <v>51.46</v>
      </c>
      <c r="F135" s="205"/>
      <c r="G135" s="205"/>
      <c r="H135" s="205"/>
      <c r="I135" s="205"/>
      <c r="J135" s="205"/>
      <c r="K135" s="205"/>
      <c r="L135" s="205"/>
      <c r="M135" s="205"/>
      <c r="N135" s="205"/>
      <c r="O135" s="191">
        <v>2</v>
      </c>
      <c r="P135" s="191">
        <v>1.77</v>
      </c>
      <c r="Q135" s="205" t="s">
        <v>651</v>
      </c>
      <c r="R135" s="205" t="s">
        <v>652</v>
      </c>
      <c r="S135" s="205">
        <v>793456.4963</v>
      </c>
      <c r="T135" s="205">
        <v>2187385.7889999999</v>
      </c>
      <c r="U135" s="205">
        <v>793437.94759999996</v>
      </c>
      <c r="V135" s="205">
        <v>2187337.7910000002</v>
      </c>
      <c r="W135" s="205"/>
      <c r="X135" s="205"/>
      <c r="Y135" s="205"/>
      <c r="Z135" s="205"/>
      <c r="AA135" s="205"/>
      <c r="AB135" s="205" t="s">
        <v>650</v>
      </c>
      <c r="AC135" s="205" t="s">
        <v>651</v>
      </c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0"/>
      <c r="BJ135" s="200"/>
      <c r="BK135" s="200"/>
      <c r="BL135" s="200"/>
      <c r="BM135" s="200"/>
      <c r="BN135" s="200"/>
      <c r="BO135" s="200"/>
      <c r="BP135" s="200"/>
      <c r="BQ135" s="200"/>
      <c r="BR135" s="200"/>
      <c r="BS135" s="200"/>
      <c r="BT135" s="200"/>
      <c r="BU135" s="200"/>
      <c r="BV135" s="200"/>
      <c r="BW135" s="200"/>
      <c r="BX135" s="200"/>
      <c r="BY135" s="200"/>
      <c r="BZ135" s="200"/>
      <c r="CA135" s="200"/>
      <c r="CB135" s="200"/>
      <c r="CC135" s="200"/>
      <c r="CD135" s="200"/>
      <c r="CE135" s="200"/>
      <c r="CF135" s="200"/>
      <c r="CG135" s="200"/>
      <c r="CH135" s="200"/>
      <c r="CI135" s="200"/>
      <c r="CJ135" s="200"/>
      <c r="CK135" s="200"/>
      <c r="CL135" s="200"/>
      <c r="CM135" s="200"/>
      <c r="CN135" s="200"/>
      <c r="CO135" s="200"/>
      <c r="CP135" s="200"/>
      <c r="CQ135" s="200"/>
      <c r="CR135" s="200"/>
      <c r="CS135" s="200"/>
      <c r="CT135" s="200"/>
      <c r="CU135" s="200"/>
      <c r="CV135" s="200"/>
    </row>
    <row r="136" spans="1:100" x14ac:dyDescent="0.2">
      <c r="A136" s="219">
        <v>0</v>
      </c>
      <c r="B136" s="219">
        <v>0</v>
      </c>
      <c r="C136" s="205" t="s">
        <v>649</v>
      </c>
      <c r="D136" s="205" t="s">
        <v>651</v>
      </c>
      <c r="E136" s="191">
        <v>38.36</v>
      </c>
      <c r="F136" s="205" t="s">
        <v>650</v>
      </c>
      <c r="G136" s="205"/>
      <c r="H136" s="205"/>
      <c r="I136" s="205"/>
      <c r="J136"/>
      <c r="K136"/>
      <c r="L136" s="205"/>
      <c r="M136" s="205"/>
      <c r="N136" s="205"/>
      <c r="O136" s="191">
        <v>1.77</v>
      </c>
      <c r="P136" s="191">
        <v>1.74</v>
      </c>
      <c r="Q136" s="205" t="s">
        <v>653</v>
      </c>
      <c r="R136" s="205" t="s">
        <v>654</v>
      </c>
      <c r="S136" s="205">
        <v>793437.94759999996</v>
      </c>
      <c r="T136" s="205">
        <v>2187337.7910000002</v>
      </c>
      <c r="U136" s="205">
        <v>793423.19299999997</v>
      </c>
      <c r="V136" s="205">
        <v>2187302.38</v>
      </c>
      <c r="W136" s="205"/>
      <c r="X136" s="205"/>
      <c r="Y136" s="205"/>
      <c r="Z136" s="205"/>
      <c r="AA136" s="205"/>
      <c r="AB136" s="205" t="s">
        <v>651</v>
      </c>
      <c r="AC136" s="205" t="s">
        <v>653</v>
      </c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>
        <v>0</v>
      </c>
      <c r="B137" s="219">
        <v>0</v>
      </c>
      <c r="C137" s="205" t="s">
        <v>649</v>
      </c>
      <c r="D137" s="205" t="s">
        <v>653</v>
      </c>
      <c r="E137" s="191">
        <v>48.83</v>
      </c>
      <c r="F137" s="205" t="s">
        <v>651</v>
      </c>
      <c r="G137" s="205"/>
      <c r="H137" s="205"/>
      <c r="I137" s="205"/>
      <c r="J137"/>
      <c r="K137"/>
      <c r="L137" s="205"/>
      <c r="M137" s="205"/>
      <c r="N137" s="205"/>
      <c r="O137" s="191">
        <v>1.74</v>
      </c>
      <c r="P137" s="191">
        <v>1.1100000000000001</v>
      </c>
      <c r="Q137" s="205" t="s">
        <v>655</v>
      </c>
      <c r="R137" s="205" t="s">
        <v>656</v>
      </c>
      <c r="S137" s="205">
        <v>793423.19299999997</v>
      </c>
      <c r="T137" s="205">
        <v>2187302.38</v>
      </c>
      <c r="U137" s="205">
        <v>793469.74540000001</v>
      </c>
      <c r="V137" s="205">
        <v>2187287.625</v>
      </c>
      <c r="W137" s="205"/>
      <c r="X137" s="205"/>
      <c r="Y137" s="205"/>
      <c r="Z137" s="205"/>
      <c r="AA137" s="205"/>
      <c r="AB137" s="205" t="s">
        <v>653</v>
      </c>
      <c r="AC137" s="205" t="s">
        <v>655</v>
      </c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>
        <v>0</v>
      </c>
      <c r="B138" s="219">
        <v>0</v>
      </c>
      <c r="C138" s="205" t="s">
        <v>649</v>
      </c>
      <c r="D138" s="205" t="s">
        <v>655</v>
      </c>
      <c r="E138" s="191">
        <v>32.450000000000003</v>
      </c>
      <c r="F138" s="205" t="s">
        <v>653</v>
      </c>
      <c r="G138" s="205"/>
      <c r="H138" s="205"/>
      <c r="I138" s="205"/>
      <c r="J138"/>
      <c r="K138"/>
      <c r="L138" s="205"/>
      <c r="M138" s="205"/>
      <c r="N138" s="205"/>
      <c r="O138" s="191">
        <v>1.1100000000000001</v>
      </c>
      <c r="P138" s="191">
        <v>1.5</v>
      </c>
      <c r="Q138" s="205" t="s">
        <v>657</v>
      </c>
      <c r="R138" s="205" t="s">
        <v>658</v>
      </c>
      <c r="S138" s="205">
        <v>793469.74540000001</v>
      </c>
      <c r="T138" s="205">
        <v>2187287.625</v>
      </c>
      <c r="U138" s="205">
        <v>793500.03749999998</v>
      </c>
      <c r="V138" s="205">
        <v>2187276.0019999999</v>
      </c>
      <c r="W138" s="205"/>
      <c r="X138" s="205"/>
      <c r="Y138" s="205"/>
      <c r="Z138" s="205"/>
      <c r="AA138" s="205"/>
      <c r="AB138" s="205" t="s">
        <v>655</v>
      </c>
      <c r="AC138" s="205" t="s">
        <v>657</v>
      </c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>
        <v>0</v>
      </c>
      <c r="B139" s="219">
        <v>0</v>
      </c>
      <c r="C139" s="205" t="s">
        <v>649</v>
      </c>
      <c r="D139" s="205" t="s">
        <v>657</v>
      </c>
      <c r="E139" s="191">
        <v>53.53</v>
      </c>
      <c r="F139" s="205" t="s">
        <v>655</v>
      </c>
      <c r="G139" s="205" t="s">
        <v>659</v>
      </c>
      <c r="H139" s="205"/>
      <c r="I139" s="205"/>
      <c r="J139"/>
      <c r="K139"/>
      <c r="L139" s="205"/>
      <c r="M139" s="205"/>
      <c r="N139" s="205"/>
      <c r="O139" s="191">
        <v>1.5</v>
      </c>
      <c r="P139" s="191">
        <v>1.5</v>
      </c>
      <c r="Q139" s="205" t="s">
        <v>660</v>
      </c>
      <c r="R139" s="205" t="s">
        <v>661</v>
      </c>
      <c r="S139" s="205">
        <v>793500.03749999998</v>
      </c>
      <c r="T139" s="205">
        <v>2187276.0019999999</v>
      </c>
      <c r="U139" s="205">
        <v>793469.92599999998</v>
      </c>
      <c r="V139" s="205">
        <v>2187231.7390000001</v>
      </c>
      <c r="W139" s="205"/>
      <c r="X139" s="205"/>
      <c r="Y139" s="205"/>
      <c r="Z139" s="205"/>
      <c r="AA139" s="205"/>
      <c r="AB139" s="205" t="s">
        <v>657</v>
      </c>
      <c r="AC139" s="205" t="s">
        <v>660</v>
      </c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>
        <v>0</v>
      </c>
      <c r="B140" s="219">
        <v>0</v>
      </c>
      <c r="C140" s="205" t="s">
        <v>649</v>
      </c>
      <c r="D140" s="205" t="s">
        <v>660</v>
      </c>
      <c r="E140" s="191">
        <v>48.24</v>
      </c>
      <c r="F140" s="205" t="s">
        <v>657</v>
      </c>
      <c r="G140" s="205" t="s">
        <v>662</v>
      </c>
      <c r="H140" s="205"/>
      <c r="I140" s="205"/>
      <c r="J140" s="205"/>
      <c r="K140" s="205"/>
      <c r="L140" s="205"/>
      <c r="M140" s="205"/>
      <c r="N140" s="205"/>
      <c r="O140" s="191">
        <v>1.5</v>
      </c>
      <c r="P140" s="191">
        <v>1.35</v>
      </c>
      <c r="Q140" s="205" t="s">
        <v>663</v>
      </c>
      <c r="R140" s="205" t="s">
        <v>664</v>
      </c>
      <c r="S140" s="205">
        <v>793469.92599999998</v>
      </c>
      <c r="T140" s="205">
        <v>2187231.7390000001</v>
      </c>
      <c r="U140" s="205">
        <v>793440.83829999994</v>
      </c>
      <c r="V140" s="205">
        <v>2187193.2560000001</v>
      </c>
      <c r="W140" s="205"/>
      <c r="X140" s="205"/>
      <c r="Y140" s="205"/>
      <c r="Z140" s="205"/>
      <c r="AA140" s="205"/>
      <c r="AB140" s="205" t="s">
        <v>660</v>
      </c>
      <c r="AC140" s="205" t="s">
        <v>663</v>
      </c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0"/>
      <c r="BJ140" s="200"/>
      <c r="BK140" s="200"/>
      <c r="BL140" s="200"/>
      <c r="BM140" s="200"/>
      <c r="BN140" s="200"/>
      <c r="BO140" s="200"/>
      <c r="BP140" s="200"/>
      <c r="BQ140" s="200"/>
      <c r="BR140" s="200"/>
      <c r="BS140" s="200"/>
      <c r="BT140" s="200"/>
      <c r="BU140" s="200"/>
      <c r="BV140" s="200"/>
      <c r="BW140" s="200"/>
      <c r="BX140" s="200"/>
      <c r="BY140" s="200"/>
      <c r="BZ140" s="200"/>
      <c r="CA140" s="200"/>
      <c r="CB140" s="200"/>
      <c r="CC140" s="200"/>
      <c r="CD140" s="200"/>
      <c r="CE140" s="200"/>
      <c r="CF140" s="200"/>
      <c r="CG140" s="200"/>
      <c r="CH140" s="200"/>
      <c r="CI140" s="200"/>
      <c r="CJ140" s="200"/>
      <c r="CK140" s="200"/>
      <c r="CL140" s="200"/>
      <c r="CM140" s="200"/>
      <c r="CN140" s="200"/>
      <c r="CO140" s="200"/>
      <c r="CP140" s="200"/>
      <c r="CQ140" s="200"/>
      <c r="CR140" s="200"/>
      <c r="CS140" s="200"/>
      <c r="CT140" s="200"/>
      <c r="CU140" s="200"/>
      <c r="CV140" s="200"/>
    </row>
    <row r="141" spans="1:100" x14ac:dyDescent="0.2">
      <c r="A141" s="219">
        <v>0</v>
      </c>
      <c r="B141" s="219">
        <v>1</v>
      </c>
      <c r="C141" s="205" t="s">
        <v>649</v>
      </c>
      <c r="D141" s="205" t="s">
        <v>663</v>
      </c>
      <c r="E141" s="191">
        <v>51.27</v>
      </c>
      <c r="F141" s="205" t="s">
        <v>660</v>
      </c>
      <c r="G141" s="205" t="s">
        <v>665</v>
      </c>
      <c r="H141" s="205"/>
      <c r="I141" s="205"/>
      <c r="J141" s="205"/>
      <c r="K141" s="205"/>
      <c r="L141" s="205"/>
      <c r="M141" s="205"/>
      <c r="N141" s="205"/>
      <c r="O141" s="191">
        <v>1.35</v>
      </c>
      <c r="P141" s="191">
        <v>1.07</v>
      </c>
      <c r="Q141" s="205" t="s">
        <v>666</v>
      </c>
      <c r="R141" s="205" t="s">
        <v>667</v>
      </c>
      <c r="S141" s="205">
        <v>793440.83829999994</v>
      </c>
      <c r="T141" s="205">
        <v>2187193.2560000001</v>
      </c>
      <c r="U141" s="205">
        <v>793413.37670000002</v>
      </c>
      <c r="V141" s="205">
        <v>2187149.9559999998</v>
      </c>
      <c r="W141" s="205"/>
      <c r="X141" s="205"/>
      <c r="Y141" s="205"/>
      <c r="Z141" s="205"/>
      <c r="AA141" s="205"/>
      <c r="AB141" s="205" t="s">
        <v>663</v>
      </c>
      <c r="AC141" s="205" t="s">
        <v>666</v>
      </c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0"/>
      <c r="BJ141" s="200"/>
      <c r="BK141" s="200"/>
      <c r="BL141" s="200"/>
      <c r="BM141" s="200"/>
      <c r="BN141" s="200"/>
      <c r="BO141" s="200"/>
      <c r="BP141" s="200"/>
      <c r="BQ141" s="200"/>
      <c r="BR141" s="200"/>
      <c r="BS141" s="200"/>
      <c r="BT141" s="200"/>
      <c r="BU141" s="200"/>
      <c r="BV141" s="200"/>
      <c r="BW141" s="200"/>
      <c r="BX141" s="200"/>
      <c r="BY141" s="200"/>
      <c r="BZ141" s="200"/>
      <c r="CA141" s="200"/>
      <c r="CB141" s="200"/>
      <c r="CC141" s="200"/>
      <c r="CD141" s="200"/>
      <c r="CE141" s="200"/>
      <c r="CF141" s="200"/>
      <c r="CG141" s="200"/>
      <c r="CH141" s="200"/>
      <c r="CI141" s="200"/>
      <c r="CJ141" s="200"/>
      <c r="CK141" s="200"/>
      <c r="CL141" s="200"/>
      <c r="CM141" s="200"/>
      <c r="CN141" s="200"/>
      <c r="CO141" s="200"/>
      <c r="CP141" s="200"/>
      <c r="CQ141" s="200"/>
      <c r="CR141" s="200"/>
      <c r="CS141" s="200"/>
      <c r="CT141" s="200"/>
      <c r="CU141" s="200"/>
      <c r="CV141" s="200"/>
    </row>
    <row r="142" spans="1:100" x14ac:dyDescent="0.2">
      <c r="A142" s="219">
        <v>1</v>
      </c>
      <c r="B142" s="219">
        <v>0</v>
      </c>
      <c r="C142" s="205" t="s">
        <v>668</v>
      </c>
      <c r="D142" s="205" t="s">
        <v>669</v>
      </c>
      <c r="E142" s="191">
        <v>28.85</v>
      </c>
      <c r="F142" s="205"/>
      <c r="G142" s="205"/>
      <c r="H142" s="205"/>
      <c r="I142" s="205"/>
      <c r="J142"/>
      <c r="K142"/>
      <c r="L142" s="205"/>
      <c r="M142" s="205"/>
      <c r="N142" s="205"/>
      <c r="O142" s="191">
        <v>1.26</v>
      </c>
      <c r="P142" s="191">
        <v>1.46</v>
      </c>
      <c r="Q142" s="205" t="s">
        <v>665</v>
      </c>
      <c r="R142" s="205" t="s">
        <v>670</v>
      </c>
      <c r="S142" s="205">
        <v>793386.99899999995</v>
      </c>
      <c r="T142" s="205">
        <v>2187211.8050000002</v>
      </c>
      <c r="U142" s="205">
        <v>793414.28</v>
      </c>
      <c r="V142" s="205">
        <v>2187202.41</v>
      </c>
      <c r="W142" s="205"/>
      <c r="X142" s="205"/>
      <c r="Y142" s="205"/>
      <c r="Z142" s="205"/>
      <c r="AA142" s="205"/>
      <c r="AB142" s="205" t="s">
        <v>669</v>
      </c>
      <c r="AC142" s="205" t="s">
        <v>665</v>
      </c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>
        <v>0</v>
      </c>
      <c r="B143" s="219">
        <v>1</v>
      </c>
      <c r="C143" s="205" t="s">
        <v>668</v>
      </c>
      <c r="D143" s="205" t="s">
        <v>665</v>
      </c>
      <c r="E143" s="191">
        <v>28.09</v>
      </c>
      <c r="F143" s="205" t="s">
        <v>669</v>
      </c>
      <c r="G143" s="205"/>
      <c r="H143" s="205"/>
      <c r="I143" s="205"/>
      <c r="J143"/>
      <c r="K143"/>
      <c r="L143" s="205"/>
      <c r="M143" s="205"/>
      <c r="N143" s="205"/>
      <c r="O143" s="191">
        <v>1.46</v>
      </c>
      <c r="P143" s="191">
        <v>1.35</v>
      </c>
      <c r="Q143" s="205" t="s">
        <v>663</v>
      </c>
      <c r="R143" s="205" t="s">
        <v>671</v>
      </c>
      <c r="S143" s="205">
        <v>793414.28</v>
      </c>
      <c r="T143" s="205">
        <v>2187202.41</v>
      </c>
      <c r="U143" s="205">
        <v>793440.83829999994</v>
      </c>
      <c r="V143" s="205">
        <v>2187193.2560000001</v>
      </c>
      <c r="W143" s="205"/>
      <c r="X143" s="205"/>
      <c r="Y143" s="205"/>
      <c r="Z143" s="205"/>
      <c r="AA143" s="205"/>
      <c r="AB143" s="205" t="s">
        <v>665</v>
      </c>
      <c r="AC143" s="205" t="s">
        <v>663</v>
      </c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>
        <v>1</v>
      </c>
      <c r="B144" s="219">
        <v>1</v>
      </c>
      <c r="C144" s="205" t="s">
        <v>672</v>
      </c>
      <c r="D144" s="205" t="s">
        <v>662</v>
      </c>
      <c r="E144" s="191">
        <v>31.12</v>
      </c>
      <c r="F144" s="205"/>
      <c r="G144" s="205"/>
      <c r="H144" s="205"/>
      <c r="I144" s="205"/>
      <c r="J144" s="205"/>
      <c r="K144" s="205"/>
      <c r="L144" s="205"/>
      <c r="M144" s="205"/>
      <c r="N144" s="205"/>
      <c r="O144" s="191">
        <v>1.29</v>
      </c>
      <c r="P144" s="191">
        <v>1.5</v>
      </c>
      <c r="Q144" s="205" t="s">
        <v>660</v>
      </c>
      <c r="R144" s="205" t="s">
        <v>673</v>
      </c>
      <c r="S144" s="205">
        <v>793440.53720000002</v>
      </c>
      <c r="T144" s="205">
        <v>2187241.9759999998</v>
      </c>
      <c r="U144" s="205">
        <v>793469.92599999998</v>
      </c>
      <c r="V144" s="205">
        <v>2187231.7390000001</v>
      </c>
      <c r="W144" s="205"/>
      <c r="X144" s="205"/>
      <c r="Y144" s="205"/>
      <c r="Z144" s="205"/>
      <c r="AA144" s="205"/>
      <c r="AB144" s="205" t="s">
        <v>662</v>
      </c>
      <c r="AC144" s="205" t="s">
        <v>660</v>
      </c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0"/>
      <c r="BJ144" s="200"/>
      <c r="BK144" s="200"/>
      <c r="BL144" s="200"/>
      <c r="BM144" s="200"/>
      <c r="BN144" s="200"/>
      <c r="BO144" s="200"/>
      <c r="BP144" s="200"/>
      <c r="BQ144" s="200"/>
      <c r="BR144" s="200"/>
      <c r="BS144" s="200"/>
      <c r="BT144" s="200"/>
      <c r="BU144" s="200"/>
      <c r="BV144" s="200"/>
      <c r="BW144" s="200"/>
      <c r="BX144" s="200"/>
      <c r="BY144" s="200"/>
      <c r="BZ144" s="200"/>
      <c r="CA144" s="200"/>
      <c r="CB144" s="200"/>
      <c r="CC144" s="200"/>
      <c r="CD144" s="200"/>
      <c r="CE144" s="200"/>
      <c r="CF144" s="200"/>
      <c r="CG144" s="200"/>
      <c r="CH144" s="200"/>
      <c r="CI144" s="200"/>
      <c r="CJ144" s="200"/>
      <c r="CK144" s="200"/>
      <c r="CL144" s="200"/>
      <c r="CM144" s="200"/>
      <c r="CN144" s="200"/>
      <c r="CO144" s="200"/>
      <c r="CP144" s="200"/>
      <c r="CQ144" s="200"/>
      <c r="CR144" s="200"/>
      <c r="CS144" s="200"/>
      <c r="CT144" s="200"/>
      <c r="CU144" s="200"/>
      <c r="CV144" s="200"/>
    </row>
    <row r="145" spans="1:100" x14ac:dyDescent="0.2">
      <c r="A145" s="219">
        <v>1</v>
      </c>
      <c r="B145" s="219">
        <v>0</v>
      </c>
      <c r="C145" s="205" t="s">
        <v>674</v>
      </c>
      <c r="D145" s="205" t="s">
        <v>675</v>
      </c>
      <c r="E145" s="191">
        <v>52.06</v>
      </c>
      <c r="F145" s="205"/>
      <c r="G145" s="205"/>
      <c r="H145" s="205"/>
      <c r="I145" s="205"/>
      <c r="J145"/>
      <c r="K145"/>
      <c r="L145" s="205"/>
      <c r="M145" s="205"/>
      <c r="N145" s="205"/>
      <c r="O145" s="191">
        <v>1.26</v>
      </c>
      <c r="P145" s="191">
        <v>1.31</v>
      </c>
      <c r="Q145" s="205" t="s">
        <v>676</v>
      </c>
      <c r="R145" s="205" t="s">
        <v>677</v>
      </c>
      <c r="S145" s="205">
        <v>793502.92819999997</v>
      </c>
      <c r="T145" s="205">
        <v>2187370.7930000001</v>
      </c>
      <c r="U145" s="205">
        <v>793551.16680000001</v>
      </c>
      <c r="V145" s="205">
        <v>2187351.2209999999</v>
      </c>
      <c r="W145" s="205"/>
      <c r="X145" s="205"/>
      <c r="Y145" s="205"/>
      <c r="Z145" s="205"/>
      <c r="AA145" s="205"/>
      <c r="AB145" s="205" t="s">
        <v>675</v>
      </c>
      <c r="AC145" s="205" t="s">
        <v>676</v>
      </c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>
        <v>0</v>
      </c>
      <c r="B146" s="219">
        <v>0</v>
      </c>
      <c r="C146" s="205" t="s">
        <v>674</v>
      </c>
      <c r="D146" s="205" t="s">
        <v>676</v>
      </c>
      <c r="E146" s="191">
        <v>54.45</v>
      </c>
      <c r="F146" s="205" t="s">
        <v>675</v>
      </c>
      <c r="G146" s="205"/>
      <c r="H146" s="205"/>
      <c r="I146" s="205"/>
      <c r="J146" s="205"/>
      <c r="K146" s="205"/>
      <c r="L146" s="205"/>
      <c r="M146" s="205"/>
      <c r="N146" s="205"/>
      <c r="O146" s="191">
        <v>1.31</v>
      </c>
      <c r="P146" s="191">
        <v>1.5</v>
      </c>
      <c r="Q146" s="205" t="s">
        <v>659</v>
      </c>
      <c r="R146" s="205" t="s">
        <v>678</v>
      </c>
      <c r="S146" s="205">
        <v>793551.16680000001</v>
      </c>
      <c r="T146" s="205">
        <v>2187351.2209999999</v>
      </c>
      <c r="U146" s="205">
        <v>793522.44039999996</v>
      </c>
      <c r="V146" s="205">
        <v>2187304.9700000002</v>
      </c>
      <c r="W146" s="205"/>
      <c r="X146" s="205"/>
      <c r="Y146" s="205"/>
      <c r="Z146" s="205"/>
      <c r="AA146" s="205"/>
      <c r="AB146" s="205" t="s">
        <v>676</v>
      </c>
      <c r="AC146" s="205" t="s">
        <v>659</v>
      </c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0"/>
      <c r="BJ146" s="200"/>
      <c r="BK146" s="200"/>
      <c r="BL146" s="200"/>
      <c r="BM146" s="200"/>
      <c r="BN146" s="200"/>
      <c r="BO146" s="200"/>
      <c r="BP146" s="200"/>
      <c r="BQ146" s="200"/>
      <c r="BR146" s="200"/>
      <c r="BS146" s="200"/>
      <c r="BT146" s="200"/>
      <c r="BU146" s="200"/>
      <c r="BV146" s="200"/>
      <c r="BW146" s="200"/>
      <c r="BX146" s="200"/>
      <c r="BY146" s="200"/>
      <c r="BZ146" s="200"/>
      <c r="CA146" s="200"/>
      <c r="CB146" s="200"/>
      <c r="CC146" s="200"/>
      <c r="CD146" s="200"/>
      <c r="CE146" s="200"/>
      <c r="CF146" s="200"/>
      <c r="CG146" s="200"/>
      <c r="CH146" s="200"/>
      <c r="CI146" s="200"/>
      <c r="CJ146" s="200"/>
      <c r="CK146" s="200"/>
      <c r="CL146" s="200"/>
      <c r="CM146" s="200"/>
      <c r="CN146" s="200"/>
      <c r="CO146" s="200"/>
      <c r="CP146" s="200"/>
      <c r="CQ146" s="200"/>
      <c r="CR146" s="200"/>
      <c r="CS146" s="200"/>
      <c r="CT146" s="200"/>
      <c r="CU146" s="200"/>
      <c r="CV146" s="200"/>
    </row>
    <row r="147" spans="1:100" x14ac:dyDescent="0.2">
      <c r="A147" s="219">
        <v>0</v>
      </c>
      <c r="B147" s="219">
        <v>1</v>
      </c>
      <c r="C147" s="205" t="s">
        <v>674</v>
      </c>
      <c r="D147" s="205" t="s">
        <v>659</v>
      </c>
      <c r="E147" s="191">
        <v>36.619999999999997</v>
      </c>
      <c r="F147" s="205" t="s">
        <v>676</v>
      </c>
      <c r="G147" s="205" t="s">
        <v>679</v>
      </c>
      <c r="H147" s="205"/>
      <c r="I147" s="205"/>
      <c r="J147" s="205"/>
      <c r="K147" s="205"/>
      <c r="L147" s="205"/>
      <c r="M147" s="205"/>
      <c r="N147" s="205"/>
      <c r="O147" s="191">
        <v>1.5</v>
      </c>
      <c r="P147" s="191">
        <v>1.5</v>
      </c>
      <c r="Q147" s="205" t="s">
        <v>657</v>
      </c>
      <c r="R147" s="205" t="s">
        <v>680</v>
      </c>
      <c r="S147" s="205">
        <v>793522.44039999996</v>
      </c>
      <c r="T147" s="205">
        <v>2187304.9700000002</v>
      </c>
      <c r="U147" s="205">
        <v>793500.03749999998</v>
      </c>
      <c r="V147" s="205">
        <v>2187276.0019999999</v>
      </c>
      <c r="W147" s="205"/>
      <c r="X147" s="205"/>
      <c r="Y147" s="205"/>
      <c r="Z147" s="205"/>
      <c r="AA147" s="205"/>
      <c r="AB147" s="205" t="s">
        <v>659</v>
      </c>
      <c r="AC147" s="205" t="s">
        <v>657</v>
      </c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0"/>
      <c r="BJ147" s="200"/>
      <c r="BK147" s="200"/>
      <c r="BL147" s="200"/>
      <c r="BM147" s="200"/>
      <c r="BN147" s="200"/>
      <c r="BO147" s="200"/>
      <c r="BP147" s="200"/>
      <c r="BQ147" s="200"/>
      <c r="BR147" s="200"/>
      <c r="BS147" s="200"/>
      <c r="BT147" s="200"/>
      <c r="BU147" s="200"/>
      <c r="BV147" s="200"/>
      <c r="BW147" s="200"/>
      <c r="BX147" s="200"/>
      <c r="BY147" s="200"/>
      <c r="BZ147" s="200"/>
      <c r="CA147" s="200"/>
      <c r="CB147" s="200"/>
      <c r="CC147" s="200"/>
      <c r="CD147" s="200"/>
      <c r="CE147" s="200"/>
      <c r="CF147" s="200"/>
      <c r="CG147" s="200"/>
      <c r="CH147" s="200"/>
      <c r="CI147" s="200"/>
      <c r="CJ147" s="200"/>
      <c r="CK147" s="200"/>
      <c r="CL147" s="200"/>
      <c r="CM147" s="200"/>
      <c r="CN147" s="200"/>
      <c r="CO147" s="200"/>
      <c r="CP147" s="200"/>
      <c r="CQ147" s="200"/>
      <c r="CR147" s="200"/>
      <c r="CS147" s="200"/>
      <c r="CT147" s="200"/>
      <c r="CU147" s="200"/>
      <c r="CV147" s="200"/>
    </row>
    <row r="148" spans="1:100" x14ac:dyDescent="0.2">
      <c r="A148" s="219">
        <v>1</v>
      </c>
      <c r="B148" s="219">
        <v>0</v>
      </c>
      <c r="C148" s="205" t="s">
        <v>681</v>
      </c>
      <c r="D148" s="205" t="s">
        <v>682</v>
      </c>
      <c r="E148" s="191">
        <v>54.01</v>
      </c>
      <c r="F148" s="205"/>
      <c r="G148" s="205"/>
      <c r="H148" s="205"/>
      <c r="I148" s="205"/>
      <c r="J148" s="205"/>
      <c r="K148" s="205"/>
      <c r="L148" s="205"/>
      <c r="M148" s="205"/>
      <c r="N148" s="205"/>
      <c r="O148" s="191">
        <v>10.71</v>
      </c>
      <c r="P148" s="191">
        <v>9.19</v>
      </c>
      <c r="Q148" s="205" t="s">
        <v>683</v>
      </c>
      <c r="R148" s="205" t="s">
        <v>684</v>
      </c>
      <c r="S148" s="205">
        <v>793114.49029999995</v>
      </c>
      <c r="T148" s="205">
        <v>2187557.1230000001</v>
      </c>
      <c r="U148" s="205">
        <v>793165.67969999998</v>
      </c>
      <c r="V148" s="205">
        <v>2187539.8990000002</v>
      </c>
      <c r="W148" s="205"/>
      <c r="X148" s="205"/>
      <c r="Y148" s="205"/>
      <c r="Z148" s="205"/>
      <c r="AA148" s="205"/>
      <c r="AB148" s="205" t="s">
        <v>682</v>
      </c>
      <c r="AC148" s="205" t="s">
        <v>683</v>
      </c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0"/>
      <c r="BJ148" s="200"/>
      <c r="BK148" s="200"/>
      <c r="BL148" s="200"/>
      <c r="BM148" s="200"/>
      <c r="BN148" s="200"/>
      <c r="BO148" s="200"/>
      <c r="BP148" s="200"/>
      <c r="BQ148" s="200"/>
      <c r="BR148" s="200"/>
      <c r="BS148" s="200"/>
      <c r="BT148" s="200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200"/>
      <c r="CE148" s="200"/>
      <c r="CF148" s="200"/>
      <c r="CG148" s="200"/>
      <c r="CH148" s="200"/>
      <c r="CI148" s="200"/>
      <c r="CJ148" s="200"/>
      <c r="CK148" s="200"/>
      <c r="CL148" s="200"/>
      <c r="CM148" s="200"/>
      <c r="CN148" s="200"/>
      <c r="CO148" s="200"/>
      <c r="CP148" s="200"/>
      <c r="CQ148" s="200"/>
      <c r="CR148" s="200"/>
      <c r="CS148" s="200"/>
      <c r="CT148" s="200"/>
      <c r="CU148" s="200"/>
      <c r="CV148" s="200"/>
    </row>
    <row r="149" spans="1:100" x14ac:dyDescent="0.2">
      <c r="A149" s="219">
        <v>0</v>
      </c>
      <c r="B149" s="219">
        <v>0</v>
      </c>
      <c r="C149" s="205" t="s">
        <v>681</v>
      </c>
      <c r="D149" s="205" t="s">
        <v>683</v>
      </c>
      <c r="E149" s="191">
        <v>46.27</v>
      </c>
      <c r="F149" s="205" t="s">
        <v>682</v>
      </c>
      <c r="G149" s="205"/>
      <c r="H149" s="205"/>
      <c r="I149" s="205"/>
      <c r="J149" s="205"/>
      <c r="K149" s="205"/>
      <c r="L149" s="205"/>
      <c r="M149" s="205"/>
      <c r="N149" s="205"/>
      <c r="O149" s="191">
        <v>9.19</v>
      </c>
      <c r="P149" s="191">
        <v>7.72</v>
      </c>
      <c r="Q149" s="205" t="s">
        <v>685</v>
      </c>
      <c r="R149" s="205" t="s">
        <v>686</v>
      </c>
      <c r="S149" s="205">
        <v>793165.67969999998</v>
      </c>
      <c r="T149" s="205">
        <v>2187539.8990000002</v>
      </c>
      <c r="U149" s="205">
        <v>793209.04029999999</v>
      </c>
      <c r="V149" s="205">
        <v>2187523.7599999998</v>
      </c>
      <c r="W149" s="205"/>
      <c r="X149" s="205"/>
      <c r="Y149" s="205"/>
      <c r="Z149" s="205"/>
      <c r="AA149" s="205"/>
      <c r="AB149" s="205" t="s">
        <v>683</v>
      </c>
      <c r="AC149" s="205" t="s">
        <v>685</v>
      </c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0"/>
      <c r="BH149" s="200"/>
      <c r="BJ149" s="200"/>
      <c r="BK149" s="200"/>
      <c r="BL149" s="200"/>
      <c r="BM149" s="200"/>
      <c r="BN149" s="200"/>
      <c r="BO149" s="200"/>
      <c r="BP149" s="200"/>
      <c r="BQ149" s="200"/>
      <c r="BR149" s="200"/>
      <c r="BS149" s="200"/>
      <c r="BT149" s="200"/>
      <c r="BU149" s="200"/>
      <c r="BV149" s="200"/>
      <c r="BW149" s="200"/>
      <c r="BX149" s="200"/>
      <c r="BY149" s="200"/>
      <c r="BZ149" s="200"/>
      <c r="CA149" s="200"/>
      <c r="CB149" s="200"/>
      <c r="CC149" s="200"/>
      <c r="CD149" s="200"/>
      <c r="CE149" s="200"/>
      <c r="CF149" s="200"/>
      <c r="CG149" s="200"/>
      <c r="CH149" s="200"/>
      <c r="CI149" s="200"/>
      <c r="CJ149" s="200"/>
      <c r="CK149" s="200"/>
      <c r="CL149" s="200"/>
      <c r="CM149" s="200"/>
      <c r="CN149" s="200"/>
      <c r="CO149" s="200"/>
      <c r="CP149" s="200"/>
      <c r="CQ149" s="200"/>
      <c r="CR149" s="200"/>
      <c r="CS149" s="200"/>
      <c r="CT149" s="200"/>
      <c r="CU149" s="200"/>
      <c r="CV149" s="200"/>
    </row>
    <row r="150" spans="1:100" x14ac:dyDescent="0.2">
      <c r="A150" s="219">
        <v>0</v>
      </c>
      <c r="B150" s="219">
        <v>0</v>
      </c>
      <c r="C150" s="205" t="s">
        <v>681</v>
      </c>
      <c r="D150" s="205" t="s">
        <v>685</v>
      </c>
      <c r="E150" s="191">
        <v>48.13</v>
      </c>
      <c r="F150" s="205" t="s">
        <v>683</v>
      </c>
      <c r="G150" s="205"/>
      <c r="H150" s="205"/>
      <c r="I150" s="205"/>
      <c r="J150"/>
      <c r="K150"/>
      <c r="L150" s="205"/>
      <c r="M150" s="205"/>
      <c r="N150" s="205"/>
      <c r="O150" s="191">
        <v>7.72</v>
      </c>
      <c r="P150" s="191">
        <v>6.95</v>
      </c>
      <c r="Q150" s="205" t="s">
        <v>574</v>
      </c>
      <c r="R150" s="205" t="s">
        <v>687</v>
      </c>
      <c r="S150" s="205">
        <v>793209.04029999999</v>
      </c>
      <c r="T150" s="205">
        <v>2187523.7599999998</v>
      </c>
      <c r="U150" s="205">
        <v>793254.20750000002</v>
      </c>
      <c r="V150" s="205">
        <v>2187507.1379999998</v>
      </c>
      <c r="W150" s="205"/>
      <c r="X150" s="205"/>
      <c r="Y150" s="205"/>
      <c r="Z150" s="205"/>
      <c r="AA150" s="205"/>
      <c r="AB150" s="205" t="s">
        <v>685</v>
      </c>
      <c r="AC150" s="205" t="s">
        <v>574</v>
      </c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>
        <v>0</v>
      </c>
      <c r="B151" s="219">
        <v>1</v>
      </c>
      <c r="C151" s="205" t="s">
        <v>681</v>
      </c>
      <c r="D151" s="205" t="s">
        <v>574</v>
      </c>
      <c r="E151" s="191">
        <v>46.97</v>
      </c>
      <c r="F151" s="205" t="s">
        <v>685</v>
      </c>
      <c r="G151" s="205"/>
      <c r="H151" s="205"/>
      <c r="I151" s="205"/>
      <c r="J151"/>
      <c r="K151"/>
      <c r="L151" s="205"/>
      <c r="M151" s="205"/>
      <c r="N151" s="205"/>
      <c r="O151" s="191">
        <v>6.95</v>
      </c>
      <c r="P151" s="191">
        <v>6.47</v>
      </c>
      <c r="Q151" s="205" t="s">
        <v>572</v>
      </c>
      <c r="R151" s="205" t="s">
        <v>688</v>
      </c>
      <c r="S151" s="205">
        <v>793254.20750000002</v>
      </c>
      <c r="T151" s="205">
        <v>2187507.1379999998</v>
      </c>
      <c r="U151" s="205">
        <v>793299.19400000002</v>
      </c>
      <c r="V151" s="205">
        <v>2187493.648</v>
      </c>
      <c r="W151" s="205"/>
      <c r="X151" s="205"/>
      <c r="Y151" s="205"/>
      <c r="Z151" s="205"/>
      <c r="AA151" s="205"/>
      <c r="AB151" s="205" t="s">
        <v>574</v>
      </c>
      <c r="AC151" s="205" t="s">
        <v>572</v>
      </c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>
        <v>1</v>
      </c>
      <c r="B152" s="219">
        <v>1</v>
      </c>
      <c r="C152" s="205" t="s">
        <v>689</v>
      </c>
      <c r="D152" s="205" t="s">
        <v>679</v>
      </c>
      <c r="E152" s="191">
        <v>37.159999999999997</v>
      </c>
      <c r="F152" s="205"/>
      <c r="G152" s="205"/>
      <c r="H152" s="205"/>
      <c r="I152" s="205"/>
      <c r="J152"/>
      <c r="K152"/>
      <c r="L152" s="205"/>
      <c r="M152" s="205"/>
      <c r="N152" s="205"/>
      <c r="O152" s="191">
        <v>1</v>
      </c>
      <c r="P152" s="191">
        <v>1.5</v>
      </c>
      <c r="Q152" s="205" t="s">
        <v>659</v>
      </c>
      <c r="R152" s="205" t="s">
        <v>690</v>
      </c>
      <c r="S152" s="205">
        <v>793488.65540000005</v>
      </c>
      <c r="T152" s="205">
        <v>2187320.4470000002</v>
      </c>
      <c r="U152" s="205">
        <v>793522.44039999996</v>
      </c>
      <c r="V152" s="205">
        <v>2187304.9700000002</v>
      </c>
      <c r="W152" s="205"/>
      <c r="X152" s="205"/>
      <c r="Y152" s="205"/>
      <c r="Z152" s="205"/>
      <c r="AA152" s="205"/>
      <c r="AB152" s="205" t="s">
        <v>679</v>
      </c>
      <c r="AC152" s="205" t="s">
        <v>659</v>
      </c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>
        <v>1</v>
      </c>
      <c r="B153" s="219">
        <v>0</v>
      </c>
      <c r="C153" s="205" t="s">
        <v>691</v>
      </c>
      <c r="D153" s="205" t="s">
        <v>692</v>
      </c>
      <c r="E153" s="191">
        <v>15.39</v>
      </c>
      <c r="F153" s="205"/>
      <c r="G153" s="205"/>
      <c r="H153" s="205"/>
      <c r="I153" s="205"/>
      <c r="J153"/>
      <c r="K153"/>
      <c r="L153" s="205"/>
      <c r="M153" s="205"/>
      <c r="N153" s="205"/>
      <c r="O153" s="191">
        <v>1.28</v>
      </c>
      <c r="P153" s="191">
        <v>1.46</v>
      </c>
      <c r="Q153" s="205" t="s">
        <v>693</v>
      </c>
      <c r="R153" s="205" t="s">
        <v>694</v>
      </c>
      <c r="S153" s="205">
        <v>793616.0871</v>
      </c>
      <c r="T153" s="205">
        <v>2187339.3569999998</v>
      </c>
      <c r="U153" s="205">
        <v>793606.81279999996</v>
      </c>
      <c r="V153" s="205">
        <v>2187327.071</v>
      </c>
      <c r="W153" s="205"/>
      <c r="X153" s="205"/>
      <c r="Y153" s="205"/>
      <c r="Z153" s="205"/>
      <c r="AA153" s="205"/>
      <c r="AB153" s="205" t="s">
        <v>692</v>
      </c>
      <c r="AC153" s="205" t="s">
        <v>693</v>
      </c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>
        <v>0</v>
      </c>
      <c r="B154" s="219">
        <v>0</v>
      </c>
      <c r="C154" s="205" t="s">
        <v>691</v>
      </c>
      <c r="D154" s="205" t="s">
        <v>693</v>
      </c>
      <c r="E154" s="191">
        <v>55.16</v>
      </c>
      <c r="F154" s="205" t="s">
        <v>692</v>
      </c>
      <c r="G154" s="205"/>
      <c r="H154" s="205"/>
      <c r="I154" s="205"/>
      <c r="J154"/>
      <c r="K154"/>
      <c r="L154" s="205"/>
      <c r="M154" s="205"/>
      <c r="N154" s="205"/>
      <c r="O154" s="191">
        <v>1.46</v>
      </c>
      <c r="P154" s="191">
        <v>1.0900000000000001</v>
      </c>
      <c r="Q154" s="205" t="s">
        <v>695</v>
      </c>
      <c r="R154" s="205" t="s">
        <v>696</v>
      </c>
      <c r="S154" s="205">
        <v>793606.81279999996</v>
      </c>
      <c r="T154" s="205">
        <v>2187327.071</v>
      </c>
      <c r="U154" s="205">
        <v>793578.68859999999</v>
      </c>
      <c r="V154" s="205">
        <v>2187279.6159999999</v>
      </c>
      <c r="W154" s="205"/>
      <c r="X154" s="205"/>
      <c r="Y154" s="205"/>
      <c r="Z154" s="205"/>
      <c r="AA154" s="205"/>
      <c r="AB154" s="205" t="s">
        <v>693</v>
      </c>
      <c r="AC154" s="205" t="s">
        <v>695</v>
      </c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>
        <v>0</v>
      </c>
      <c r="B155" s="219">
        <v>0</v>
      </c>
      <c r="C155" s="205" t="s">
        <v>691</v>
      </c>
      <c r="D155" s="205" t="s">
        <v>695</v>
      </c>
      <c r="E155" s="191">
        <v>34.83</v>
      </c>
      <c r="F155" s="205" t="s">
        <v>693</v>
      </c>
      <c r="G155" s="205"/>
      <c r="H155" s="205"/>
      <c r="I155" s="205"/>
      <c r="J155" s="205"/>
      <c r="K155" s="205"/>
      <c r="L155" s="205"/>
      <c r="M155" s="205"/>
      <c r="N155" s="205"/>
      <c r="O155" s="191">
        <v>1.0900000000000001</v>
      </c>
      <c r="P155" s="191">
        <v>1.5</v>
      </c>
      <c r="Q155" s="205" t="s">
        <v>697</v>
      </c>
      <c r="R155" s="205" t="s">
        <v>698</v>
      </c>
      <c r="S155" s="205">
        <v>793578.68859999999</v>
      </c>
      <c r="T155" s="205">
        <v>2187279.6159999999</v>
      </c>
      <c r="U155" s="205">
        <v>793559.35710000002</v>
      </c>
      <c r="V155" s="205">
        <v>2187250.6490000002</v>
      </c>
      <c r="W155" s="205"/>
      <c r="X155" s="205"/>
      <c r="Y155" s="205"/>
      <c r="Z155" s="205"/>
      <c r="AA155" s="205"/>
      <c r="AB155" s="205" t="s">
        <v>695</v>
      </c>
      <c r="AC155" s="205" t="s">
        <v>697</v>
      </c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0"/>
      <c r="BJ155" s="200"/>
      <c r="BK155" s="200"/>
      <c r="BL155" s="200"/>
      <c r="BM155" s="200"/>
      <c r="BN155" s="200"/>
      <c r="BO155" s="200"/>
      <c r="BP155" s="200"/>
      <c r="BQ155" s="200"/>
      <c r="BR155" s="200"/>
      <c r="BS155" s="200"/>
      <c r="BT155" s="200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200"/>
      <c r="CE155" s="200"/>
      <c r="CF155" s="200"/>
      <c r="CG155" s="200"/>
      <c r="CH155" s="200"/>
      <c r="CI155" s="200"/>
      <c r="CJ155" s="200"/>
      <c r="CK155" s="200"/>
      <c r="CL155" s="200"/>
      <c r="CM155" s="200"/>
      <c r="CN155" s="200"/>
      <c r="CO155" s="200"/>
      <c r="CP155" s="200"/>
      <c r="CQ155" s="200"/>
      <c r="CR155" s="200"/>
      <c r="CS155" s="200"/>
      <c r="CT155" s="200"/>
      <c r="CU155" s="200"/>
      <c r="CV155" s="200"/>
    </row>
    <row r="156" spans="1:100" x14ac:dyDescent="0.2">
      <c r="A156" s="219">
        <v>0</v>
      </c>
      <c r="B156" s="219">
        <v>0</v>
      </c>
      <c r="C156" s="205" t="s">
        <v>691</v>
      </c>
      <c r="D156" s="205" t="s">
        <v>697</v>
      </c>
      <c r="E156" s="191">
        <v>49.64</v>
      </c>
      <c r="F156" s="205" t="s">
        <v>695</v>
      </c>
      <c r="G156" s="205"/>
      <c r="H156" s="205"/>
      <c r="I156" s="205"/>
      <c r="J156" s="205"/>
      <c r="K156" s="205"/>
      <c r="L156" s="205"/>
      <c r="M156" s="205"/>
      <c r="N156" s="205"/>
      <c r="O156" s="191">
        <v>1.5</v>
      </c>
      <c r="P156" s="191">
        <v>1.5</v>
      </c>
      <c r="Q156" s="205" t="s">
        <v>699</v>
      </c>
      <c r="R156" s="205" t="s">
        <v>700</v>
      </c>
      <c r="S156" s="205">
        <v>793559.35710000002</v>
      </c>
      <c r="T156" s="205">
        <v>2187250.6490000002</v>
      </c>
      <c r="U156" s="205">
        <v>793530.69099999999</v>
      </c>
      <c r="V156" s="205">
        <v>2187210.1179999998</v>
      </c>
      <c r="W156" s="205"/>
      <c r="X156" s="205"/>
      <c r="Y156" s="205"/>
      <c r="Z156" s="205"/>
      <c r="AA156" s="205"/>
      <c r="AB156" s="205" t="s">
        <v>697</v>
      </c>
      <c r="AC156" s="205" t="s">
        <v>699</v>
      </c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0"/>
      <c r="BK156" s="200"/>
      <c r="BL156" s="200"/>
      <c r="BM156" s="200"/>
      <c r="BN156" s="200"/>
      <c r="BO156" s="200"/>
      <c r="BP156" s="200"/>
      <c r="BQ156" s="200"/>
      <c r="BR156" s="200"/>
      <c r="BS156" s="200"/>
      <c r="BT156" s="200"/>
      <c r="BU156" s="200"/>
      <c r="BV156" s="200"/>
      <c r="BW156" s="200"/>
      <c r="BX156" s="200"/>
      <c r="BY156" s="200"/>
      <c r="BZ156" s="200"/>
      <c r="CA156" s="200"/>
      <c r="CB156" s="200"/>
      <c r="CC156" s="200"/>
      <c r="CD156" s="200"/>
      <c r="CE156" s="200"/>
      <c r="CF156" s="200"/>
      <c r="CG156" s="200"/>
      <c r="CH156" s="200"/>
      <c r="CI156" s="200"/>
      <c r="CJ156" s="200"/>
      <c r="CK156" s="200"/>
      <c r="CL156" s="200"/>
      <c r="CM156" s="200"/>
      <c r="CN156" s="200"/>
      <c r="CP156" s="200"/>
      <c r="CQ156" s="200"/>
      <c r="CR156" s="200"/>
      <c r="CS156" s="200"/>
      <c r="CT156" s="200"/>
      <c r="CU156" s="200"/>
      <c r="CV156" s="200"/>
    </row>
    <row r="157" spans="1:100" x14ac:dyDescent="0.2">
      <c r="A157" s="219">
        <v>0</v>
      </c>
      <c r="B157" s="219">
        <v>0</v>
      </c>
      <c r="C157" s="205" t="s">
        <v>691</v>
      </c>
      <c r="D157" s="205" t="s">
        <v>699</v>
      </c>
      <c r="E157" s="191">
        <v>46.3</v>
      </c>
      <c r="F157" s="205" t="s">
        <v>697</v>
      </c>
      <c r="G157" s="205"/>
      <c r="H157" s="205"/>
      <c r="I157" s="205"/>
      <c r="J157"/>
      <c r="K157"/>
      <c r="L157" s="205"/>
      <c r="M157" s="205"/>
      <c r="N157" s="205"/>
      <c r="O157" s="191">
        <v>1.5</v>
      </c>
      <c r="P157" s="191">
        <v>1.5</v>
      </c>
      <c r="Q157" s="205" t="s">
        <v>701</v>
      </c>
      <c r="R157" s="205" t="s">
        <v>702</v>
      </c>
      <c r="S157" s="205">
        <v>793530.69099999999</v>
      </c>
      <c r="T157" s="205">
        <v>2187210.1179999998</v>
      </c>
      <c r="U157" s="205">
        <v>793510.03449999995</v>
      </c>
      <c r="V157" s="205">
        <v>2187168.6850000001</v>
      </c>
      <c r="W157" s="205"/>
      <c r="X157" s="205"/>
      <c r="Y157" s="205"/>
      <c r="Z157" s="205"/>
      <c r="AA157" s="205"/>
      <c r="AB157" s="205" t="s">
        <v>699</v>
      </c>
      <c r="AC157" s="205" t="s">
        <v>701</v>
      </c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>
        <v>0</v>
      </c>
      <c r="B158" s="219">
        <v>0</v>
      </c>
      <c r="C158" s="205" t="s">
        <v>691</v>
      </c>
      <c r="D158" s="205" t="s">
        <v>701</v>
      </c>
      <c r="E158" s="191">
        <v>50.86</v>
      </c>
      <c r="F158" s="205" t="s">
        <v>699</v>
      </c>
      <c r="G158" s="205"/>
      <c r="H158" s="205"/>
      <c r="I158" s="205"/>
      <c r="J158"/>
      <c r="K158"/>
      <c r="L158" s="205"/>
      <c r="M158" s="205"/>
      <c r="N158" s="205"/>
      <c r="O158" s="191">
        <v>1.5</v>
      </c>
      <c r="P158" s="191">
        <v>1.3</v>
      </c>
      <c r="Q158" s="205" t="s">
        <v>703</v>
      </c>
      <c r="R158" s="205" t="s">
        <v>704</v>
      </c>
      <c r="S158" s="205">
        <v>793510.03449999995</v>
      </c>
      <c r="T158" s="205">
        <v>2187168.6850000001</v>
      </c>
      <c r="U158" s="205">
        <v>793489.01670000004</v>
      </c>
      <c r="V158" s="205">
        <v>2187122.3739999998</v>
      </c>
      <c r="W158" s="205"/>
      <c r="X158" s="205"/>
      <c r="Y158" s="205"/>
      <c r="Z158" s="205"/>
      <c r="AA158" s="205"/>
      <c r="AB158" s="205" t="s">
        <v>701</v>
      </c>
      <c r="AC158" s="205" t="s">
        <v>703</v>
      </c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>
        <v>0</v>
      </c>
      <c r="B159" s="219">
        <v>0</v>
      </c>
      <c r="C159" s="205" t="s">
        <v>691</v>
      </c>
      <c r="D159" s="205" t="s">
        <v>703</v>
      </c>
      <c r="E159" s="191">
        <v>52.6</v>
      </c>
      <c r="F159" s="205" t="s">
        <v>701</v>
      </c>
      <c r="G159" s="205"/>
      <c r="H159" s="205"/>
      <c r="I159" s="205"/>
      <c r="J159"/>
      <c r="K159"/>
      <c r="L159" s="205"/>
      <c r="M159" s="205"/>
      <c r="N159" s="205"/>
      <c r="O159" s="191">
        <v>1.3</v>
      </c>
      <c r="P159" s="191">
        <v>1.25</v>
      </c>
      <c r="Q159" s="205" t="s">
        <v>612</v>
      </c>
      <c r="R159" s="205" t="s">
        <v>705</v>
      </c>
      <c r="S159" s="205">
        <v>793489.01670000004</v>
      </c>
      <c r="T159" s="205">
        <v>2187122.3739999998</v>
      </c>
      <c r="U159" s="205">
        <v>793469.47080000001</v>
      </c>
      <c r="V159" s="205">
        <v>2187073.5430000001</v>
      </c>
      <c r="W159" s="205"/>
      <c r="X159" s="205"/>
      <c r="Y159" s="205"/>
      <c r="Z159" s="205"/>
      <c r="AA159" s="205"/>
      <c r="AB159" s="205" t="s">
        <v>703</v>
      </c>
      <c r="AC159" s="205" t="s">
        <v>612</v>
      </c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>
        <v>0</v>
      </c>
      <c r="B160" s="219">
        <v>1</v>
      </c>
      <c r="C160" s="205" t="s">
        <v>691</v>
      </c>
      <c r="D160" s="205" t="s">
        <v>612</v>
      </c>
      <c r="E160" s="191">
        <v>48.04</v>
      </c>
      <c r="F160" s="205" t="s">
        <v>703</v>
      </c>
      <c r="G160" s="205"/>
      <c r="H160" s="205"/>
      <c r="I160" s="205"/>
      <c r="J160"/>
      <c r="K160"/>
      <c r="L160" s="205"/>
      <c r="M160" s="205"/>
      <c r="N160" s="205"/>
      <c r="O160" s="191">
        <v>1.25</v>
      </c>
      <c r="P160" s="191">
        <v>1</v>
      </c>
      <c r="Q160" s="205" t="s">
        <v>610</v>
      </c>
      <c r="R160" s="205" t="s">
        <v>706</v>
      </c>
      <c r="S160" s="205">
        <v>793469.47080000001</v>
      </c>
      <c r="T160" s="205">
        <v>2187073.5430000001</v>
      </c>
      <c r="U160" s="205">
        <v>793439.63390000002</v>
      </c>
      <c r="V160" s="205">
        <v>2187035.8939999999</v>
      </c>
      <c r="W160" s="205"/>
      <c r="X160" s="205"/>
      <c r="Y160" s="205"/>
      <c r="Z160" s="205"/>
      <c r="AA160" s="205"/>
      <c r="AB160" s="205" t="s">
        <v>612</v>
      </c>
      <c r="AC160" s="205" t="s">
        <v>610</v>
      </c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>
        <v>1</v>
      </c>
      <c r="B161" s="219">
        <v>1</v>
      </c>
      <c r="C161" s="205" t="s">
        <v>707</v>
      </c>
      <c r="D161" s="205" t="s">
        <v>589</v>
      </c>
      <c r="E161" s="191">
        <v>45.8</v>
      </c>
      <c r="F161" s="205"/>
      <c r="G161" s="205"/>
      <c r="H161" s="205"/>
      <c r="I161" s="205"/>
      <c r="J161"/>
      <c r="K161"/>
      <c r="L161" s="205"/>
      <c r="M161" s="205"/>
      <c r="N161" s="205"/>
      <c r="O161" s="191">
        <v>2.66</v>
      </c>
      <c r="P161" s="191">
        <v>2.11</v>
      </c>
      <c r="Q161" s="205" t="s">
        <v>587</v>
      </c>
      <c r="R161" s="205" t="s">
        <v>708</v>
      </c>
      <c r="S161" s="205">
        <v>793177.96519999998</v>
      </c>
      <c r="T161" s="205">
        <v>2187283.7710000002</v>
      </c>
      <c r="U161" s="205">
        <v>793220.66330000001</v>
      </c>
      <c r="V161" s="205">
        <v>2187267.21</v>
      </c>
      <c r="W161" s="205"/>
      <c r="X161" s="205"/>
      <c r="Y161" s="205"/>
      <c r="Z161" s="205"/>
      <c r="AA161" s="205"/>
      <c r="AB161" s="205" t="s">
        <v>589</v>
      </c>
      <c r="AC161" s="205" t="s">
        <v>587</v>
      </c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>
        <v>1</v>
      </c>
      <c r="B162" s="219">
        <v>0</v>
      </c>
      <c r="C162" s="205" t="s">
        <v>709</v>
      </c>
      <c r="D162" s="205" t="s">
        <v>710</v>
      </c>
      <c r="E162" s="191">
        <v>44.79</v>
      </c>
      <c r="F162" s="205"/>
      <c r="G162" s="205"/>
      <c r="H162" s="205"/>
      <c r="I162" s="205"/>
      <c r="J162"/>
      <c r="K162"/>
      <c r="L162" s="205"/>
      <c r="M162" s="205"/>
      <c r="N162" s="205"/>
      <c r="O162" s="191">
        <v>3.17</v>
      </c>
      <c r="P162" s="191">
        <v>2.72</v>
      </c>
      <c r="Q162" s="205" t="s">
        <v>711</v>
      </c>
      <c r="R162" s="205" t="s">
        <v>712</v>
      </c>
      <c r="S162" s="205">
        <v>793131.14190000005</v>
      </c>
      <c r="T162" s="205">
        <v>2187299.1579999998</v>
      </c>
      <c r="U162" s="205">
        <v>793115.75490000006</v>
      </c>
      <c r="V162" s="205">
        <v>2187257.0920000002</v>
      </c>
      <c r="W162" s="205"/>
      <c r="X162" s="205"/>
      <c r="Y162" s="205"/>
      <c r="Z162" s="205"/>
      <c r="AA162" s="205"/>
      <c r="AB162" s="205" t="s">
        <v>710</v>
      </c>
      <c r="AC162" s="205" t="s">
        <v>711</v>
      </c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>
        <v>0</v>
      </c>
      <c r="B163" s="219">
        <v>0</v>
      </c>
      <c r="C163" s="205" t="s">
        <v>709</v>
      </c>
      <c r="D163" s="205" t="s">
        <v>711</v>
      </c>
      <c r="E163" s="191">
        <v>54.91</v>
      </c>
      <c r="F163" s="205" t="s">
        <v>710</v>
      </c>
      <c r="G163" s="205" t="s">
        <v>713</v>
      </c>
      <c r="H163" s="205"/>
      <c r="I163" s="205"/>
      <c r="J163"/>
      <c r="K163"/>
      <c r="L163" s="205"/>
      <c r="M163" s="205"/>
      <c r="N163" s="205"/>
      <c r="O163" s="191">
        <v>2.72</v>
      </c>
      <c r="P163" s="191">
        <v>2.5</v>
      </c>
      <c r="Q163" s="205" t="s">
        <v>714</v>
      </c>
      <c r="R163" s="205" t="s">
        <v>715</v>
      </c>
      <c r="S163" s="205">
        <v>793115.75490000006</v>
      </c>
      <c r="T163" s="205">
        <v>2187257.0920000002</v>
      </c>
      <c r="U163" s="205">
        <v>793097.68810000003</v>
      </c>
      <c r="V163" s="205">
        <v>2187205.2400000002</v>
      </c>
      <c r="W163" s="205"/>
      <c r="X163" s="205"/>
      <c r="Y163" s="205"/>
      <c r="Z163" s="205"/>
      <c r="AA163" s="205"/>
      <c r="AB163" s="205" t="s">
        <v>711</v>
      </c>
      <c r="AC163" s="205" t="s">
        <v>714</v>
      </c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>
        <v>0</v>
      </c>
      <c r="B164" s="219">
        <v>0</v>
      </c>
      <c r="C164" s="205" t="s">
        <v>709</v>
      </c>
      <c r="D164" s="205" t="s">
        <v>714</v>
      </c>
      <c r="E164" s="191">
        <v>50.11</v>
      </c>
      <c r="F164" s="205" t="s">
        <v>711</v>
      </c>
      <c r="G164" s="205" t="s">
        <v>716</v>
      </c>
      <c r="H164" s="205"/>
      <c r="I164" s="205"/>
      <c r="J164"/>
      <c r="K164"/>
      <c r="L164" s="205"/>
      <c r="M164" s="205"/>
      <c r="N164" s="205"/>
      <c r="O164" s="191">
        <v>2.5</v>
      </c>
      <c r="P164" s="191">
        <v>2.38</v>
      </c>
      <c r="Q164" s="205" t="s">
        <v>594</v>
      </c>
      <c r="R164" s="205" t="s">
        <v>717</v>
      </c>
      <c r="S164" s="205">
        <v>793097.68810000003</v>
      </c>
      <c r="T164" s="205">
        <v>2187205.2400000002</v>
      </c>
      <c r="U164" s="205">
        <v>793145.17379999999</v>
      </c>
      <c r="V164" s="205">
        <v>2187189.2510000002</v>
      </c>
      <c r="W164" s="205"/>
      <c r="X164" s="205"/>
      <c r="Y164" s="205"/>
      <c r="Z164" s="205"/>
      <c r="AA164" s="205"/>
      <c r="AB164" s="205" t="s">
        <v>714</v>
      </c>
      <c r="AC164" s="205" t="s">
        <v>594</v>
      </c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>
        <v>0</v>
      </c>
      <c r="B165" s="219">
        <v>1</v>
      </c>
      <c r="C165" s="205" t="s">
        <v>709</v>
      </c>
      <c r="D165" s="205" t="s">
        <v>594</v>
      </c>
      <c r="E165" s="191">
        <v>45.2</v>
      </c>
      <c r="F165" s="205" t="s">
        <v>714</v>
      </c>
      <c r="G165" s="205"/>
      <c r="H165" s="205"/>
      <c r="I165" s="205"/>
      <c r="J165" s="205"/>
      <c r="K165" s="205"/>
      <c r="L165" s="205"/>
      <c r="M165" s="205"/>
      <c r="N165" s="205"/>
      <c r="O165" s="191">
        <v>2.38</v>
      </c>
      <c r="P165" s="191">
        <v>2</v>
      </c>
      <c r="Q165" s="205" t="s">
        <v>592</v>
      </c>
      <c r="R165" s="205" t="s">
        <v>718</v>
      </c>
      <c r="S165" s="205">
        <v>793145.17379999999</v>
      </c>
      <c r="T165" s="205">
        <v>2187189.2510000002</v>
      </c>
      <c r="U165" s="205">
        <v>793188.62470000004</v>
      </c>
      <c r="V165" s="205">
        <v>2187176.8149999999</v>
      </c>
      <c r="W165" s="205"/>
      <c r="X165" s="205"/>
      <c r="Y165" s="205"/>
      <c r="Z165" s="205"/>
      <c r="AA165" s="205"/>
      <c r="AB165" s="205" t="s">
        <v>594</v>
      </c>
      <c r="AC165" s="205" t="s">
        <v>592</v>
      </c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0"/>
      <c r="BH165" s="200"/>
      <c r="BK165" s="200"/>
      <c r="BL165" s="200"/>
      <c r="BM165" s="200"/>
      <c r="BN165" s="200"/>
      <c r="BO165" s="200"/>
      <c r="BP165" s="200"/>
      <c r="BQ165" s="200"/>
      <c r="BR165" s="200"/>
      <c r="BS165" s="200"/>
      <c r="BT165" s="200"/>
      <c r="BU165" s="200"/>
      <c r="BV165" s="200"/>
      <c r="BW165" s="200"/>
      <c r="BX165" s="200"/>
      <c r="BY165" s="200"/>
      <c r="BZ165" s="200"/>
      <c r="CA165" s="200"/>
      <c r="CB165" s="200"/>
      <c r="CC165" s="200"/>
      <c r="CD165" s="200"/>
      <c r="CE165" s="200"/>
      <c r="CF165" s="200"/>
      <c r="CG165" s="200"/>
      <c r="CH165" s="200"/>
      <c r="CI165" s="200"/>
      <c r="CJ165" s="200"/>
      <c r="CK165" s="200"/>
      <c r="CL165" s="200"/>
      <c r="CM165" s="200"/>
      <c r="CN165" s="200"/>
      <c r="CO165" s="200"/>
      <c r="CP165" s="200"/>
      <c r="CQ165" s="200"/>
      <c r="CR165" s="200"/>
      <c r="CS165" s="200"/>
      <c r="CT165" s="200"/>
      <c r="CU165" s="200"/>
      <c r="CV165" s="200"/>
    </row>
    <row r="166" spans="1:100" x14ac:dyDescent="0.2">
      <c r="A166" s="219">
        <v>1</v>
      </c>
      <c r="B166" s="219">
        <v>0</v>
      </c>
      <c r="C166" s="205" t="s">
        <v>719</v>
      </c>
      <c r="D166" s="205" t="s">
        <v>720</v>
      </c>
      <c r="E166" s="191">
        <v>46.46</v>
      </c>
      <c r="F166" s="205"/>
      <c r="G166" s="205"/>
      <c r="H166" s="205"/>
      <c r="I166" s="205"/>
      <c r="J166"/>
      <c r="K166"/>
      <c r="L166" s="205"/>
      <c r="M166" s="205"/>
      <c r="N166" s="205"/>
      <c r="O166" s="191">
        <v>4</v>
      </c>
      <c r="P166" s="191">
        <v>3.61</v>
      </c>
      <c r="Q166" s="205" t="s">
        <v>713</v>
      </c>
      <c r="R166" s="205" t="s">
        <v>721</v>
      </c>
      <c r="S166" s="205">
        <v>793090.00959999999</v>
      </c>
      <c r="T166" s="205">
        <v>2187313.852</v>
      </c>
      <c r="U166" s="205">
        <v>793072.42449999996</v>
      </c>
      <c r="V166" s="205">
        <v>2187270.8530000001</v>
      </c>
      <c r="W166" s="205"/>
      <c r="X166" s="205"/>
      <c r="Y166" s="205"/>
      <c r="Z166" s="205"/>
      <c r="AA166" s="205"/>
      <c r="AB166" s="205" t="s">
        <v>720</v>
      </c>
      <c r="AC166" s="205" t="s">
        <v>713</v>
      </c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>
        <v>0</v>
      </c>
      <c r="B167" s="219">
        <v>1</v>
      </c>
      <c r="C167" s="205" t="s">
        <v>719</v>
      </c>
      <c r="D167" s="205" t="s">
        <v>713</v>
      </c>
      <c r="E167" s="191">
        <v>45.46</v>
      </c>
      <c r="F167" s="205" t="s">
        <v>720</v>
      </c>
      <c r="G167" s="205"/>
      <c r="H167" s="205"/>
      <c r="I167" s="205"/>
      <c r="J167"/>
      <c r="K167"/>
      <c r="L167" s="205"/>
      <c r="M167" s="205"/>
      <c r="N167" s="205"/>
      <c r="O167" s="191">
        <v>3.61</v>
      </c>
      <c r="P167" s="191">
        <v>2.72</v>
      </c>
      <c r="Q167" s="205" t="s">
        <v>711</v>
      </c>
      <c r="R167" s="205" t="s">
        <v>722</v>
      </c>
      <c r="S167" s="205">
        <v>793072.42449999996</v>
      </c>
      <c r="T167" s="205">
        <v>2187270.8530000001</v>
      </c>
      <c r="U167" s="205">
        <v>793115.75490000006</v>
      </c>
      <c r="V167" s="205">
        <v>2187257.0920000002</v>
      </c>
      <c r="W167" s="205"/>
      <c r="X167" s="205"/>
      <c r="Y167" s="205"/>
      <c r="Z167" s="205"/>
      <c r="AA167" s="205"/>
      <c r="AB167" s="205" t="s">
        <v>713</v>
      </c>
      <c r="AC167" s="205" t="s">
        <v>711</v>
      </c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>
        <v>1</v>
      </c>
      <c r="B168" s="219">
        <v>0</v>
      </c>
      <c r="C168" s="205" t="s">
        <v>723</v>
      </c>
      <c r="D168" s="205" t="s">
        <v>724</v>
      </c>
      <c r="E168" s="191">
        <v>64.98</v>
      </c>
      <c r="F168" s="205"/>
      <c r="G168" s="205"/>
      <c r="H168" s="205"/>
      <c r="I168" s="205" t="s">
        <v>725</v>
      </c>
      <c r="J168">
        <v>941</v>
      </c>
      <c r="K168">
        <v>402</v>
      </c>
      <c r="L168" s="205"/>
      <c r="M168" s="205"/>
      <c r="N168" s="205"/>
      <c r="O168" s="191">
        <v>8</v>
      </c>
      <c r="P168" s="191">
        <v>5.47</v>
      </c>
      <c r="Q168" s="205" t="s">
        <v>726</v>
      </c>
      <c r="R168" s="205" t="s">
        <v>727</v>
      </c>
      <c r="S168" s="205">
        <v>792774.16839999997</v>
      </c>
      <c r="T168" s="205">
        <v>2186726.642</v>
      </c>
      <c r="U168" s="205">
        <v>792835.93160000001</v>
      </c>
      <c r="V168" s="205">
        <v>2186746.8309999998</v>
      </c>
      <c r="W168" s="205"/>
      <c r="X168" s="205"/>
      <c r="Y168" s="205"/>
      <c r="Z168" s="205"/>
      <c r="AA168" s="205"/>
      <c r="AB168" s="205" t="s">
        <v>724</v>
      </c>
      <c r="AC168" s="205" t="s">
        <v>726</v>
      </c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>
        <v>0</v>
      </c>
      <c r="B169" s="219">
        <v>0</v>
      </c>
      <c r="C169" s="205" t="s">
        <v>723</v>
      </c>
      <c r="D169" s="205" t="s">
        <v>726</v>
      </c>
      <c r="E169" s="191">
        <v>50.02</v>
      </c>
      <c r="F169" s="205" t="s">
        <v>724</v>
      </c>
      <c r="G169" s="205"/>
      <c r="H169" s="205"/>
      <c r="I169" s="205" t="s">
        <v>728</v>
      </c>
      <c r="J169">
        <v>61</v>
      </c>
      <c r="K169">
        <v>26</v>
      </c>
      <c r="L169" s="205"/>
      <c r="M169" s="205"/>
      <c r="N169" s="205"/>
      <c r="O169" s="191">
        <v>5.47</v>
      </c>
      <c r="P169" s="191">
        <v>4.7300000000000004</v>
      </c>
      <c r="Q169" s="205" t="s">
        <v>729</v>
      </c>
      <c r="R169" s="205" t="s">
        <v>730</v>
      </c>
      <c r="S169" s="205">
        <v>792835.93160000001</v>
      </c>
      <c r="T169" s="205">
        <v>2186746.8309999998</v>
      </c>
      <c r="U169" s="205">
        <v>792884.40850000002</v>
      </c>
      <c r="V169" s="205">
        <v>2186734.5079999999</v>
      </c>
      <c r="W169" s="205"/>
      <c r="X169" s="205"/>
      <c r="Y169" s="205"/>
      <c r="Z169" s="205"/>
      <c r="AA169" s="205"/>
      <c r="AB169" s="205" t="s">
        <v>726</v>
      </c>
      <c r="AC169" s="205" t="s">
        <v>729</v>
      </c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>
        <v>0</v>
      </c>
      <c r="B170" s="219">
        <v>0</v>
      </c>
      <c r="C170" s="205" t="s">
        <v>723</v>
      </c>
      <c r="D170" s="205" t="s">
        <v>729</v>
      </c>
      <c r="E170" s="191">
        <v>51.34</v>
      </c>
      <c r="F170" s="205" t="s">
        <v>726</v>
      </c>
      <c r="G170" s="205"/>
      <c r="H170" s="205"/>
      <c r="I170" s="205"/>
      <c r="J170" s="205"/>
      <c r="K170" s="205"/>
      <c r="L170" s="205"/>
      <c r="M170" s="205"/>
      <c r="N170" s="205"/>
      <c r="O170" s="191">
        <v>4.7300000000000004</v>
      </c>
      <c r="P170" s="191">
        <v>4.1100000000000003</v>
      </c>
      <c r="Q170" s="205" t="s">
        <v>731</v>
      </c>
      <c r="R170" s="205" t="s">
        <v>732</v>
      </c>
      <c r="S170" s="205">
        <v>792884.40850000002</v>
      </c>
      <c r="T170" s="205">
        <v>2186734.5079999999</v>
      </c>
      <c r="U170" s="205">
        <v>792905.12520000001</v>
      </c>
      <c r="V170" s="205">
        <v>2186781.4819999998</v>
      </c>
      <c r="W170" s="205"/>
      <c r="X170" s="205"/>
      <c r="Y170" s="205"/>
      <c r="Z170" s="205"/>
      <c r="AA170" s="205"/>
      <c r="AB170" s="205" t="s">
        <v>729</v>
      </c>
      <c r="AC170" s="205" t="s">
        <v>731</v>
      </c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0"/>
      <c r="BK170" s="200"/>
      <c r="BL170" s="200"/>
      <c r="BM170" s="200"/>
      <c r="BN170" s="200"/>
      <c r="BO170" s="200"/>
      <c r="BP170" s="200"/>
      <c r="BQ170" s="200"/>
      <c r="BR170" s="200"/>
      <c r="BS170" s="200"/>
      <c r="BT170" s="200"/>
      <c r="BU170" s="200"/>
      <c r="BV170" s="200"/>
      <c r="BW170" s="200"/>
      <c r="BX170" s="200"/>
      <c r="BY170" s="200"/>
      <c r="BZ170" s="200"/>
      <c r="CA170" s="200"/>
      <c r="CB170" s="200"/>
      <c r="CC170" s="200"/>
      <c r="CD170" s="200"/>
      <c r="CE170" s="200"/>
      <c r="CF170" s="200"/>
      <c r="CG170" s="200"/>
      <c r="CH170" s="200"/>
      <c r="CI170" s="200"/>
      <c r="CJ170" s="200"/>
      <c r="CK170" s="200"/>
      <c r="CL170" s="200"/>
      <c r="CM170" s="200"/>
      <c r="CN170" s="200"/>
      <c r="CO170" s="200"/>
      <c r="CP170" s="200"/>
      <c r="CQ170" s="200"/>
      <c r="CR170" s="200"/>
      <c r="CS170" s="200"/>
      <c r="CT170" s="200"/>
      <c r="CU170" s="200"/>
      <c r="CV170" s="200"/>
    </row>
    <row r="171" spans="1:100" x14ac:dyDescent="0.2">
      <c r="A171" s="219">
        <v>0</v>
      </c>
      <c r="B171" s="219">
        <v>0</v>
      </c>
      <c r="C171" s="205" t="s">
        <v>723</v>
      </c>
      <c r="D171" s="205" t="s">
        <v>731</v>
      </c>
      <c r="E171" s="191">
        <v>44.7</v>
      </c>
      <c r="F171" s="205" t="s">
        <v>729</v>
      </c>
      <c r="G171" s="205"/>
      <c r="H171" s="205"/>
      <c r="I171" s="205"/>
      <c r="J171"/>
      <c r="K171"/>
      <c r="L171" s="205"/>
      <c r="M171" s="205"/>
      <c r="N171" s="205"/>
      <c r="O171" s="191">
        <v>4.1100000000000003</v>
      </c>
      <c r="P171" s="191">
        <v>3.08</v>
      </c>
      <c r="Q171" s="205" t="s">
        <v>733</v>
      </c>
      <c r="R171" s="205" t="s">
        <v>734</v>
      </c>
      <c r="S171" s="205">
        <v>792905.12520000001</v>
      </c>
      <c r="T171" s="205">
        <v>2186781.4819999998</v>
      </c>
      <c r="U171" s="205">
        <v>792947.64260000002</v>
      </c>
      <c r="V171" s="205">
        <v>2186767.6910000001</v>
      </c>
      <c r="W171" s="205"/>
      <c r="X171" s="205"/>
      <c r="Y171" s="205"/>
      <c r="Z171" s="205"/>
      <c r="AA171" s="205"/>
      <c r="AB171" s="205" t="s">
        <v>731</v>
      </c>
      <c r="AC171" s="205" t="s">
        <v>733</v>
      </c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>
        <v>0</v>
      </c>
      <c r="B172" s="219">
        <v>0</v>
      </c>
      <c r="C172" s="205" t="s">
        <v>723</v>
      </c>
      <c r="D172" s="205" t="s">
        <v>733</v>
      </c>
      <c r="E172" s="191">
        <v>47.99</v>
      </c>
      <c r="F172" s="205" t="s">
        <v>731</v>
      </c>
      <c r="G172" s="205"/>
      <c r="H172" s="205"/>
      <c r="I172" s="205"/>
      <c r="J172"/>
      <c r="K172"/>
      <c r="L172" s="205"/>
      <c r="M172" s="205"/>
      <c r="N172" s="205"/>
      <c r="O172" s="191">
        <v>3.08</v>
      </c>
      <c r="P172" s="191">
        <v>2</v>
      </c>
      <c r="Q172" s="205" t="s">
        <v>735</v>
      </c>
      <c r="R172" s="205" t="s">
        <v>736</v>
      </c>
      <c r="S172" s="205">
        <v>792947.64260000002</v>
      </c>
      <c r="T172" s="205">
        <v>2186767.6910000001</v>
      </c>
      <c r="U172" s="205">
        <v>792992.50870000001</v>
      </c>
      <c r="V172" s="205">
        <v>2186750.648</v>
      </c>
      <c r="W172" s="205"/>
      <c r="X172" s="205"/>
      <c r="Y172" s="205"/>
      <c r="Z172" s="205"/>
      <c r="AA172" s="205"/>
      <c r="AB172" s="205" t="s">
        <v>733</v>
      </c>
      <c r="AC172" s="205" t="s">
        <v>735</v>
      </c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>
        <v>0</v>
      </c>
      <c r="B173" s="219">
        <v>0</v>
      </c>
      <c r="C173" s="205" t="s">
        <v>723</v>
      </c>
      <c r="D173" s="205" t="s">
        <v>735</v>
      </c>
      <c r="E173" s="191">
        <v>47.08</v>
      </c>
      <c r="F173" s="205" t="s">
        <v>733</v>
      </c>
      <c r="G173" s="205" t="s">
        <v>737</v>
      </c>
      <c r="H173" s="205"/>
      <c r="I173" s="205"/>
      <c r="J173"/>
      <c r="K173"/>
      <c r="L173" s="205"/>
      <c r="M173" s="205"/>
      <c r="N173" s="205"/>
      <c r="O173" s="191">
        <v>2</v>
      </c>
      <c r="P173" s="191">
        <v>1.69</v>
      </c>
      <c r="Q173" s="205" t="s">
        <v>738</v>
      </c>
      <c r="R173" s="205" t="s">
        <v>739</v>
      </c>
      <c r="S173" s="205">
        <v>792992.50870000001</v>
      </c>
      <c r="T173" s="205">
        <v>2186750.648</v>
      </c>
      <c r="U173" s="205">
        <v>793037.07369999995</v>
      </c>
      <c r="V173" s="205">
        <v>2186735.4709999999</v>
      </c>
      <c r="W173" s="205"/>
      <c r="X173" s="205"/>
      <c r="Y173" s="205"/>
      <c r="Z173" s="205"/>
      <c r="AA173" s="205"/>
      <c r="AB173" s="205" t="s">
        <v>735</v>
      </c>
      <c r="AC173" s="205" t="s">
        <v>738</v>
      </c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>
        <v>0</v>
      </c>
      <c r="B174" s="219">
        <v>0</v>
      </c>
      <c r="C174" s="205" t="s">
        <v>723</v>
      </c>
      <c r="D174" s="205" t="s">
        <v>738</v>
      </c>
      <c r="E174" s="191">
        <v>75.84</v>
      </c>
      <c r="F174" s="205" t="s">
        <v>735</v>
      </c>
      <c r="G174" s="205"/>
      <c r="H174" s="205"/>
      <c r="I174" s="205"/>
      <c r="J174"/>
      <c r="K174"/>
      <c r="L174" s="205"/>
      <c r="M174" s="205"/>
      <c r="N174" s="205"/>
      <c r="O174" s="191">
        <v>1.69</v>
      </c>
      <c r="P174" s="191">
        <v>1</v>
      </c>
      <c r="Q174" s="205" t="s">
        <v>740</v>
      </c>
      <c r="R174" s="205" t="s">
        <v>741</v>
      </c>
      <c r="S174" s="205">
        <v>793037.07369999995</v>
      </c>
      <c r="T174" s="205">
        <v>2186735.4709999999</v>
      </c>
      <c r="U174" s="205">
        <v>793061.97589999996</v>
      </c>
      <c r="V174" s="205">
        <v>2186807.1069999998</v>
      </c>
      <c r="W174" s="205"/>
      <c r="X174" s="205"/>
      <c r="Y174" s="205"/>
      <c r="Z174" s="205"/>
      <c r="AA174" s="205"/>
      <c r="AB174" s="205" t="s">
        <v>738</v>
      </c>
      <c r="AC174" s="205" t="s">
        <v>740</v>
      </c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>
        <v>0</v>
      </c>
      <c r="B175" s="219">
        <v>0</v>
      </c>
      <c r="C175" s="205" t="s">
        <v>723</v>
      </c>
      <c r="D175" s="205" t="s">
        <v>740</v>
      </c>
      <c r="E175" s="191">
        <v>49.48</v>
      </c>
      <c r="F175" s="205" t="s">
        <v>738</v>
      </c>
      <c r="G175" s="205"/>
      <c r="H175" s="205"/>
      <c r="I175" s="205"/>
      <c r="J175"/>
      <c r="K175"/>
      <c r="L175" s="205"/>
      <c r="M175" s="205"/>
      <c r="N175" s="205"/>
      <c r="O175" s="191">
        <v>1</v>
      </c>
      <c r="P175" s="191">
        <v>1.24</v>
      </c>
      <c r="Q175" s="205" t="s">
        <v>742</v>
      </c>
      <c r="R175" s="205" t="s">
        <v>743</v>
      </c>
      <c r="S175" s="205">
        <v>793061.97589999996</v>
      </c>
      <c r="T175" s="205">
        <v>2186807.1069999998</v>
      </c>
      <c r="U175" s="205">
        <v>793077.87470000004</v>
      </c>
      <c r="V175" s="205">
        <v>2186853.96</v>
      </c>
      <c r="W175" s="205"/>
      <c r="X175" s="205"/>
      <c r="Y175" s="205"/>
      <c r="Z175" s="205"/>
      <c r="AA175" s="205"/>
      <c r="AB175" s="205" t="s">
        <v>740</v>
      </c>
      <c r="AC175" s="205" t="s">
        <v>742</v>
      </c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>
        <v>0</v>
      </c>
      <c r="B176" s="219">
        <v>0</v>
      </c>
      <c r="C176" s="205" t="s">
        <v>723</v>
      </c>
      <c r="D176" s="205" t="s">
        <v>742</v>
      </c>
      <c r="E176" s="191">
        <v>67.209999999999994</v>
      </c>
      <c r="F176" s="205" t="s">
        <v>740</v>
      </c>
      <c r="G176" s="205" t="s">
        <v>744</v>
      </c>
      <c r="H176" s="205"/>
      <c r="I176" s="205"/>
      <c r="J176" s="205"/>
      <c r="K176" s="205"/>
      <c r="L176" s="205"/>
      <c r="M176" s="205"/>
      <c r="N176" s="205"/>
      <c r="O176" s="191">
        <v>1.24</v>
      </c>
      <c r="P176" s="191">
        <v>0.63</v>
      </c>
      <c r="Q176" s="205" t="s">
        <v>745</v>
      </c>
      <c r="R176" s="205" t="s">
        <v>746</v>
      </c>
      <c r="S176" s="205">
        <v>793077.87470000004</v>
      </c>
      <c r="T176" s="205">
        <v>2186853.96</v>
      </c>
      <c r="U176" s="205">
        <v>793141.40989999997</v>
      </c>
      <c r="V176" s="205">
        <v>2186832.0389999999</v>
      </c>
      <c r="W176" s="205"/>
      <c r="X176" s="205"/>
      <c r="Y176" s="205"/>
      <c r="Z176" s="205"/>
      <c r="AA176" s="205"/>
      <c r="AB176" s="205" t="s">
        <v>742</v>
      </c>
      <c r="AC176" s="205" t="s">
        <v>745</v>
      </c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0"/>
      <c r="BK176" s="200"/>
      <c r="BL176" s="200"/>
      <c r="BM176" s="200"/>
      <c r="BN176" s="200"/>
      <c r="BO176" s="200"/>
      <c r="BP176" s="200"/>
      <c r="BQ176" s="200"/>
      <c r="BR176" s="200"/>
      <c r="BS176" s="200"/>
      <c r="BT176" s="200"/>
      <c r="BU176" s="200"/>
      <c r="BV176" s="200"/>
      <c r="BW176" s="200"/>
      <c r="BX176" s="200"/>
      <c r="BY176" s="200"/>
      <c r="BZ176" s="200"/>
      <c r="CA176" s="200"/>
      <c r="CB176" s="200"/>
      <c r="CC176" s="200"/>
      <c r="CD176" s="200"/>
      <c r="CE176" s="200"/>
      <c r="CF176" s="200"/>
      <c r="CG176" s="200"/>
      <c r="CH176" s="200"/>
      <c r="CI176" s="200"/>
      <c r="CJ176" s="200"/>
      <c r="CK176" s="200"/>
      <c r="CL176" s="200"/>
      <c r="CM176" s="200"/>
      <c r="CN176" s="200"/>
      <c r="CO176" s="200"/>
      <c r="CP176" s="200"/>
      <c r="CQ176" s="200"/>
      <c r="CR176" s="200"/>
      <c r="CS176" s="200"/>
      <c r="CT176" s="200"/>
      <c r="CU176" s="200"/>
      <c r="CV176" s="200"/>
    </row>
    <row r="177" spans="1:100" x14ac:dyDescent="0.2">
      <c r="A177" s="219">
        <v>0</v>
      </c>
      <c r="B177" s="219">
        <v>0</v>
      </c>
      <c r="C177" s="205" t="s">
        <v>723</v>
      </c>
      <c r="D177" s="205" t="s">
        <v>745</v>
      </c>
      <c r="E177" s="191">
        <v>52.56</v>
      </c>
      <c r="F177" s="205" t="s">
        <v>742</v>
      </c>
      <c r="G177" s="205"/>
      <c r="H177" s="205"/>
      <c r="I177" s="205"/>
      <c r="J177"/>
      <c r="K177"/>
      <c r="L177" s="205"/>
      <c r="M177" s="205"/>
      <c r="N177" s="205"/>
      <c r="O177" s="191">
        <v>0.63</v>
      </c>
      <c r="P177" s="191">
        <v>0.8</v>
      </c>
      <c r="Q177" s="205" t="s">
        <v>747</v>
      </c>
      <c r="R177" s="205" t="s">
        <v>748</v>
      </c>
      <c r="S177" s="205">
        <v>793141.40989999997</v>
      </c>
      <c r="T177" s="205">
        <v>2186832.0389999999</v>
      </c>
      <c r="U177" s="205">
        <v>793190.62890000001</v>
      </c>
      <c r="V177" s="205">
        <v>2186813.591</v>
      </c>
      <c r="W177" s="205"/>
      <c r="X177" s="205"/>
      <c r="Y177" s="205"/>
      <c r="Z177" s="205"/>
      <c r="AA177" s="205"/>
      <c r="AB177" s="205" t="s">
        <v>745</v>
      </c>
      <c r="AC177" s="205" t="s">
        <v>747</v>
      </c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>
        <v>0</v>
      </c>
      <c r="B178" s="219">
        <v>0</v>
      </c>
      <c r="C178" s="205" t="s">
        <v>723</v>
      </c>
      <c r="D178" s="205" t="s">
        <v>747</v>
      </c>
      <c r="E178" s="191">
        <v>21.68</v>
      </c>
      <c r="F178" s="205" t="s">
        <v>745</v>
      </c>
      <c r="G178" s="205"/>
      <c r="H178" s="205"/>
      <c r="I178" s="205" t="s">
        <v>749</v>
      </c>
      <c r="J178" s="205">
        <v>6313</v>
      </c>
      <c r="K178" s="205">
        <v>2351</v>
      </c>
      <c r="L178" s="205"/>
      <c r="M178" s="205"/>
      <c r="N178" s="205"/>
      <c r="O178" s="191">
        <v>0.8</v>
      </c>
      <c r="P178" s="191">
        <v>0.5</v>
      </c>
      <c r="Q178" s="205" t="s">
        <v>750</v>
      </c>
      <c r="R178" s="205" t="s">
        <v>751</v>
      </c>
      <c r="S178" s="205">
        <v>793190.62890000001</v>
      </c>
      <c r="T178" s="205">
        <v>2186813.591</v>
      </c>
      <c r="U178" s="205">
        <v>793203.52579999994</v>
      </c>
      <c r="V178" s="205">
        <v>2186831.023</v>
      </c>
      <c r="W178" s="205"/>
      <c r="X178" s="205"/>
      <c r="Y178" s="205"/>
      <c r="Z178" s="205"/>
      <c r="AA178" s="205"/>
      <c r="AB178" s="205" t="s">
        <v>747</v>
      </c>
      <c r="AC178" s="205" t="s">
        <v>750</v>
      </c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0"/>
      <c r="BK178" s="200"/>
      <c r="BL178" s="200"/>
      <c r="BM178" s="200"/>
      <c r="BN178" s="200"/>
      <c r="BO178" s="200"/>
      <c r="BP178" s="200"/>
      <c r="BQ178" s="200"/>
      <c r="BR178" s="200"/>
      <c r="BS178" s="200"/>
      <c r="BT178" s="200"/>
      <c r="BU178" s="200"/>
      <c r="BV178" s="200"/>
      <c r="BW178" s="200"/>
      <c r="BX178" s="200"/>
      <c r="BY178" s="200"/>
      <c r="BZ178" s="200"/>
      <c r="CA178" s="200"/>
      <c r="CB178" s="200"/>
      <c r="CC178" s="200"/>
      <c r="CD178" s="200"/>
      <c r="CE178" s="200"/>
      <c r="CF178" s="200"/>
      <c r="CG178" s="200"/>
      <c r="CH178" s="200"/>
      <c r="CI178" s="200"/>
      <c r="CJ178" s="200"/>
      <c r="CK178" s="200"/>
      <c r="CL178" s="200"/>
      <c r="CM178" s="200"/>
      <c r="CN178" s="200"/>
      <c r="CO178" s="200"/>
      <c r="CP178" s="200"/>
      <c r="CQ178" s="200"/>
      <c r="CR178" s="200"/>
      <c r="CS178" s="200"/>
      <c r="CT178" s="200"/>
      <c r="CU178" s="200"/>
      <c r="CV178" s="200"/>
    </row>
    <row r="179" spans="1:100" x14ac:dyDescent="0.2">
      <c r="A179" s="219">
        <v>0</v>
      </c>
      <c r="B179" s="219">
        <v>0</v>
      </c>
      <c r="C179" s="205" t="s">
        <v>723</v>
      </c>
      <c r="D179" s="205" t="s">
        <v>750</v>
      </c>
      <c r="E179" s="191">
        <v>39.869999999999997</v>
      </c>
      <c r="F179" s="205" t="s">
        <v>747</v>
      </c>
      <c r="G179" s="205"/>
      <c r="H179" s="205"/>
      <c r="I179" s="205"/>
      <c r="J179"/>
      <c r="K179"/>
      <c r="L179" s="205"/>
      <c r="M179" s="205"/>
      <c r="N179" s="205"/>
      <c r="O179" s="191">
        <v>0.5</v>
      </c>
      <c r="P179" s="191">
        <v>0.73</v>
      </c>
      <c r="Q179" s="205" t="s">
        <v>752</v>
      </c>
      <c r="R179" s="205" t="s">
        <v>753</v>
      </c>
      <c r="S179" s="205">
        <v>793203.52579999994</v>
      </c>
      <c r="T179" s="205">
        <v>2186831.023</v>
      </c>
      <c r="U179" s="205">
        <v>793242.76509999996</v>
      </c>
      <c r="V179" s="205">
        <v>2186838.1090000002</v>
      </c>
      <c r="W179" s="205"/>
      <c r="X179" s="205"/>
      <c r="Y179" s="205"/>
      <c r="Z179" s="205"/>
      <c r="AA179" s="205"/>
      <c r="AB179" s="205" t="s">
        <v>750</v>
      </c>
      <c r="AC179" s="205" t="s">
        <v>752</v>
      </c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>
        <v>0</v>
      </c>
      <c r="B180" s="219">
        <v>0</v>
      </c>
      <c r="C180" s="205" t="s">
        <v>723</v>
      </c>
      <c r="D180" s="205" t="s">
        <v>752</v>
      </c>
      <c r="E180" s="191">
        <v>47.51</v>
      </c>
      <c r="F180" s="205" t="s">
        <v>750</v>
      </c>
      <c r="G180" s="205" t="s">
        <v>754</v>
      </c>
      <c r="H180" s="205"/>
      <c r="I180" s="205"/>
      <c r="J180"/>
      <c r="K180"/>
      <c r="L180" s="205"/>
      <c r="M180" s="205"/>
      <c r="N180" s="205"/>
      <c r="O180" s="191">
        <v>0.73</v>
      </c>
      <c r="P180" s="191">
        <v>0.62</v>
      </c>
      <c r="Q180" s="205" t="s">
        <v>755</v>
      </c>
      <c r="R180" s="205" t="s">
        <v>756</v>
      </c>
      <c r="S180" s="205">
        <v>793242.76509999996</v>
      </c>
      <c r="T180" s="205">
        <v>2186838.1090000002</v>
      </c>
      <c r="U180" s="205">
        <v>793289.61849999998</v>
      </c>
      <c r="V180" s="205">
        <v>2186830.2319999998</v>
      </c>
      <c r="W180" s="205"/>
      <c r="X180" s="205"/>
      <c r="Y180" s="205"/>
      <c r="Z180" s="205"/>
      <c r="AA180" s="205"/>
      <c r="AB180" s="205" t="s">
        <v>752</v>
      </c>
      <c r="AC180" s="205" t="s">
        <v>755</v>
      </c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>
        <v>0</v>
      </c>
      <c r="B181" s="219">
        <v>0</v>
      </c>
      <c r="C181" s="205" t="s">
        <v>723</v>
      </c>
      <c r="D181" s="205" t="s">
        <v>755</v>
      </c>
      <c r="E181" s="191">
        <v>15.78</v>
      </c>
      <c r="F181" s="205" t="s">
        <v>752</v>
      </c>
      <c r="G181" s="205"/>
      <c r="H181" s="205"/>
      <c r="I181" s="205"/>
      <c r="J181" s="205"/>
      <c r="K181" s="205"/>
      <c r="L181" s="205"/>
      <c r="M181" s="205"/>
      <c r="N181" s="205"/>
      <c r="O181" s="191">
        <v>0.62</v>
      </c>
      <c r="P181" s="191">
        <v>0.68</v>
      </c>
      <c r="Q181" s="205" t="s">
        <v>757</v>
      </c>
      <c r="R181" s="205" t="s">
        <v>758</v>
      </c>
      <c r="S181" s="205">
        <v>793289.61849999998</v>
      </c>
      <c r="T181" s="205">
        <v>2186830.2319999998</v>
      </c>
      <c r="U181" s="205">
        <v>793305.397</v>
      </c>
      <c r="V181" s="205">
        <v>2186829.8709999998</v>
      </c>
      <c r="W181" s="205"/>
      <c r="X181" s="205"/>
      <c r="Y181" s="205"/>
      <c r="Z181" s="205"/>
      <c r="AA181" s="205"/>
      <c r="AB181" s="205" t="s">
        <v>755</v>
      </c>
      <c r="AC181" s="205" t="s">
        <v>757</v>
      </c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0"/>
      <c r="BJ181" s="200"/>
      <c r="BK181" s="200"/>
      <c r="BL181" s="200"/>
      <c r="BM181" s="200"/>
      <c r="BN181" s="200"/>
      <c r="BO181" s="200"/>
      <c r="BP181" s="200"/>
      <c r="BQ181" s="200"/>
      <c r="BR181" s="200"/>
      <c r="BS181" s="200"/>
      <c r="BT181" s="200"/>
      <c r="BU181" s="200"/>
      <c r="BV181" s="200"/>
      <c r="BW181" s="200"/>
      <c r="BX181" s="200"/>
      <c r="BY181" s="200"/>
      <c r="BZ181" s="200"/>
      <c r="CA181" s="200"/>
      <c r="CB181" s="200"/>
      <c r="CC181" s="200"/>
      <c r="CD181" s="200"/>
      <c r="CE181" s="200"/>
      <c r="CF181" s="200"/>
      <c r="CG181" s="200"/>
      <c r="CH181" s="200"/>
      <c r="CI181" s="200"/>
      <c r="CJ181" s="200"/>
      <c r="CK181" s="200"/>
      <c r="CL181" s="200"/>
      <c r="CM181" s="200"/>
      <c r="CN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x14ac:dyDescent="0.2">
      <c r="A182" s="219">
        <v>0</v>
      </c>
      <c r="B182" s="219">
        <v>0</v>
      </c>
      <c r="C182" s="205" t="s">
        <v>723</v>
      </c>
      <c r="D182" s="205" t="s">
        <v>757</v>
      </c>
      <c r="E182" s="191">
        <v>15.66</v>
      </c>
      <c r="F182" s="205" t="s">
        <v>755</v>
      </c>
      <c r="G182" s="205"/>
      <c r="H182" s="205"/>
      <c r="I182" s="205"/>
      <c r="J182" s="205"/>
      <c r="K182" s="205"/>
      <c r="L182" s="205"/>
      <c r="M182" s="205"/>
      <c r="N182" s="205"/>
      <c r="O182" s="191">
        <v>0.68</v>
      </c>
      <c r="P182" s="191">
        <v>0.67</v>
      </c>
      <c r="Q182" s="205" t="s">
        <v>759</v>
      </c>
      <c r="R182" s="205" t="s">
        <v>760</v>
      </c>
      <c r="S182" s="205">
        <v>793305.397</v>
      </c>
      <c r="T182" s="205">
        <v>2186829.8709999998</v>
      </c>
      <c r="U182" s="205">
        <v>793320.81400000001</v>
      </c>
      <c r="V182" s="205">
        <v>2186832.6409999998</v>
      </c>
      <c r="W182" s="205"/>
      <c r="X182" s="205"/>
      <c r="Y182" s="205"/>
      <c r="Z182" s="205"/>
      <c r="AA182" s="205"/>
      <c r="AB182" s="205" t="s">
        <v>757</v>
      </c>
      <c r="AC182" s="205" t="s">
        <v>759</v>
      </c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0"/>
      <c r="BJ182" s="200"/>
      <c r="BK182" s="200"/>
      <c r="BL182" s="200"/>
      <c r="BM182" s="200"/>
      <c r="BN182" s="200"/>
      <c r="BO182" s="200"/>
      <c r="BP182" s="200"/>
      <c r="BQ182" s="200"/>
      <c r="BR182" s="200"/>
      <c r="BS182" s="200"/>
      <c r="BT182" s="200"/>
      <c r="BU182" s="200"/>
      <c r="BV182" s="200"/>
      <c r="BW182" s="200"/>
      <c r="BX182" s="200"/>
      <c r="BY182" s="200"/>
      <c r="BZ182" s="200"/>
      <c r="CA182" s="200"/>
      <c r="CB182" s="200"/>
      <c r="CC182" s="200"/>
      <c r="CD182" s="200"/>
      <c r="CE182" s="200"/>
      <c r="CF182" s="200"/>
      <c r="CG182" s="200"/>
      <c r="CH182" s="200"/>
      <c r="CI182" s="200"/>
      <c r="CJ182" s="200"/>
      <c r="CK182" s="200"/>
      <c r="CL182" s="200"/>
      <c r="CM182" s="200"/>
      <c r="CN182" s="200"/>
      <c r="CO182" s="200"/>
      <c r="CP182" s="200"/>
      <c r="CQ182" s="200"/>
      <c r="CR182" s="200"/>
      <c r="CS182" s="200"/>
      <c r="CT182" s="200"/>
      <c r="CU182" s="200"/>
      <c r="CV182" s="200"/>
    </row>
    <row r="183" spans="1:100" x14ac:dyDescent="0.2">
      <c r="A183" s="219">
        <v>0</v>
      </c>
      <c r="B183" s="219">
        <v>0</v>
      </c>
      <c r="C183" s="205" t="s">
        <v>723</v>
      </c>
      <c r="D183" s="205" t="s">
        <v>759</v>
      </c>
      <c r="E183" s="191">
        <v>25.24</v>
      </c>
      <c r="F183" s="205" t="s">
        <v>757</v>
      </c>
      <c r="G183" s="205"/>
      <c r="H183" s="205"/>
      <c r="I183" s="205"/>
      <c r="J183"/>
      <c r="K183"/>
      <c r="L183" s="205"/>
      <c r="M183" s="205"/>
      <c r="N183" s="205"/>
      <c r="O183" s="191">
        <v>0.67</v>
      </c>
      <c r="P183" s="191">
        <v>0.79</v>
      </c>
      <c r="Q183" s="205" t="s">
        <v>761</v>
      </c>
      <c r="R183" s="205" t="s">
        <v>762</v>
      </c>
      <c r="S183" s="205">
        <v>793320.81400000001</v>
      </c>
      <c r="T183" s="205">
        <v>2186832.6409999998</v>
      </c>
      <c r="U183" s="205">
        <v>793342.37379999994</v>
      </c>
      <c r="V183" s="205">
        <v>2186845.77</v>
      </c>
      <c r="W183" s="205"/>
      <c r="X183" s="205"/>
      <c r="Y183" s="205"/>
      <c r="Z183" s="205"/>
      <c r="AA183" s="205"/>
      <c r="AB183" s="205" t="s">
        <v>759</v>
      </c>
      <c r="AC183" s="205" t="s">
        <v>761</v>
      </c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>
        <v>0</v>
      </c>
      <c r="B184" s="219">
        <v>0</v>
      </c>
      <c r="C184" s="205" t="s">
        <v>723</v>
      </c>
      <c r="D184" s="205" t="s">
        <v>761</v>
      </c>
      <c r="E184" s="191">
        <v>20.45</v>
      </c>
      <c r="F184" s="205" t="s">
        <v>759</v>
      </c>
      <c r="G184" s="205"/>
      <c r="H184" s="205"/>
      <c r="I184" s="205" t="s">
        <v>763</v>
      </c>
      <c r="J184" s="205">
        <v>633</v>
      </c>
      <c r="K184" s="205">
        <v>403</v>
      </c>
      <c r="L184" s="205"/>
      <c r="M184" s="205"/>
      <c r="N184" s="205"/>
      <c r="O184" s="191">
        <v>0.79</v>
      </c>
      <c r="P184" s="191">
        <v>0.98</v>
      </c>
      <c r="Q184" s="205" t="s">
        <v>764</v>
      </c>
      <c r="R184" s="205" t="s">
        <v>765</v>
      </c>
      <c r="S184" s="205">
        <v>793342.37379999994</v>
      </c>
      <c r="T184" s="205">
        <v>2186845.77</v>
      </c>
      <c r="U184" s="205">
        <v>793354.77980000002</v>
      </c>
      <c r="V184" s="205">
        <v>2186862.0299999998</v>
      </c>
      <c r="W184" s="205"/>
      <c r="X184" s="205"/>
      <c r="Y184" s="205"/>
      <c r="Z184" s="205"/>
      <c r="AA184" s="205"/>
      <c r="AB184" s="205" t="s">
        <v>761</v>
      </c>
      <c r="AC184" s="205" t="s">
        <v>764</v>
      </c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0"/>
      <c r="BJ184" s="200"/>
      <c r="BK184" s="200"/>
      <c r="BL184" s="200"/>
      <c r="BM184" s="200"/>
      <c r="BN184" s="200"/>
      <c r="BO184" s="200"/>
      <c r="BP184" s="200"/>
      <c r="BQ184" s="200"/>
      <c r="BR184" s="200"/>
      <c r="BS184" s="200"/>
      <c r="BT184" s="200"/>
      <c r="BU184" s="200"/>
      <c r="BV184" s="200"/>
      <c r="BW184" s="200"/>
      <c r="BX184" s="200"/>
      <c r="BY184" s="200"/>
      <c r="BZ184" s="200"/>
      <c r="CA184" s="200"/>
      <c r="CB184" s="200"/>
      <c r="CC184" s="200"/>
      <c r="CD184" s="200"/>
      <c r="CE184" s="200"/>
      <c r="CF184" s="200"/>
      <c r="CG184" s="200"/>
      <c r="CH184" s="200"/>
      <c r="CI184" s="200"/>
      <c r="CJ184" s="200"/>
      <c r="CK184" s="200"/>
      <c r="CL184" s="200"/>
      <c r="CM184" s="200"/>
      <c r="CN184" s="200"/>
      <c r="CO184" s="200"/>
      <c r="CP184" s="200"/>
      <c r="CQ184" s="200"/>
      <c r="CR184" s="200"/>
      <c r="CS184" s="200"/>
      <c r="CT184" s="200"/>
      <c r="CU184" s="200"/>
      <c r="CV184" s="200"/>
    </row>
    <row r="185" spans="1:100" x14ac:dyDescent="0.2">
      <c r="A185" s="219">
        <v>0</v>
      </c>
      <c r="B185" s="219">
        <v>0</v>
      </c>
      <c r="C185" s="205" t="s">
        <v>723</v>
      </c>
      <c r="D185" s="205" t="s">
        <v>764</v>
      </c>
      <c r="E185" s="191">
        <v>51.25</v>
      </c>
      <c r="F185" s="205" t="s">
        <v>761</v>
      </c>
      <c r="G185" s="205"/>
      <c r="H185" s="205"/>
      <c r="I185" s="205"/>
      <c r="J185"/>
      <c r="K185"/>
      <c r="L185" s="205"/>
      <c r="M185" s="205"/>
      <c r="N185" s="205"/>
      <c r="O185" s="191">
        <v>0.98</v>
      </c>
      <c r="P185" s="191">
        <v>1.01</v>
      </c>
      <c r="Q185" s="205" t="s">
        <v>766</v>
      </c>
      <c r="R185" s="205" t="s">
        <v>767</v>
      </c>
      <c r="S185" s="205">
        <v>793354.77980000002</v>
      </c>
      <c r="T185" s="205">
        <v>2186862.0299999998</v>
      </c>
      <c r="U185" s="205">
        <v>793382.48230000003</v>
      </c>
      <c r="V185" s="205">
        <v>2186905.15</v>
      </c>
      <c r="W185" s="205"/>
      <c r="X185" s="205"/>
      <c r="Y185" s="205"/>
      <c r="Z185" s="205"/>
      <c r="AA185" s="205"/>
      <c r="AB185" s="205" t="s">
        <v>764</v>
      </c>
      <c r="AC185" s="205" t="s">
        <v>766</v>
      </c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>
        <v>0</v>
      </c>
      <c r="B186" s="219">
        <v>0</v>
      </c>
      <c r="C186" s="205" t="s">
        <v>723</v>
      </c>
      <c r="D186" s="205" t="s">
        <v>766</v>
      </c>
      <c r="E186" s="191">
        <v>45.67</v>
      </c>
      <c r="F186" s="205" t="s">
        <v>764</v>
      </c>
      <c r="G186" s="205" t="s">
        <v>768</v>
      </c>
      <c r="H186" s="205"/>
      <c r="I186" s="205"/>
      <c r="J186"/>
      <c r="K186"/>
      <c r="L186" s="205"/>
      <c r="M186" s="205"/>
      <c r="N186" s="205"/>
      <c r="O186" s="191">
        <v>1.01</v>
      </c>
      <c r="P186" s="191">
        <v>1.04</v>
      </c>
      <c r="Q186" s="205" t="s">
        <v>769</v>
      </c>
      <c r="R186" s="205" t="s">
        <v>770</v>
      </c>
      <c r="S186" s="205">
        <v>793382.48230000003</v>
      </c>
      <c r="T186" s="205">
        <v>2186905.15</v>
      </c>
      <c r="U186" s="205">
        <v>793408.5588</v>
      </c>
      <c r="V186" s="205">
        <v>2186942.6379999998</v>
      </c>
      <c r="W186" s="205"/>
      <c r="X186" s="205"/>
      <c r="Y186" s="205"/>
      <c r="Z186" s="205"/>
      <c r="AA186" s="205"/>
      <c r="AB186" s="205" t="s">
        <v>766</v>
      </c>
      <c r="AC186" s="205" t="s">
        <v>769</v>
      </c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>
        <v>0</v>
      </c>
      <c r="B187" s="219">
        <v>0</v>
      </c>
      <c r="C187" s="205" t="s">
        <v>723</v>
      </c>
      <c r="D187" s="205" t="s">
        <v>769</v>
      </c>
      <c r="E187" s="191">
        <v>62.16</v>
      </c>
      <c r="F187" s="205" t="s">
        <v>766</v>
      </c>
      <c r="G187" s="205"/>
      <c r="H187" s="205"/>
      <c r="I187" s="205"/>
      <c r="J187"/>
      <c r="K187"/>
      <c r="L187" s="205"/>
      <c r="M187" s="205"/>
      <c r="N187" s="205"/>
      <c r="O187" s="191">
        <v>1.04</v>
      </c>
      <c r="P187" s="191">
        <v>1.08</v>
      </c>
      <c r="Q187" s="205" t="s">
        <v>615</v>
      </c>
      <c r="R187" s="205" t="s">
        <v>771</v>
      </c>
      <c r="S187" s="205">
        <v>793408.5588</v>
      </c>
      <c r="T187" s="205">
        <v>2186942.6379999998</v>
      </c>
      <c r="U187" s="205">
        <v>793442.43420000002</v>
      </c>
      <c r="V187" s="205">
        <v>2186994.7609999999</v>
      </c>
      <c r="W187" s="205"/>
      <c r="X187" s="205"/>
      <c r="Y187" s="205"/>
      <c r="Z187" s="205"/>
      <c r="AA187" s="205"/>
      <c r="AB187" s="205" t="s">
        <v>769</v>
      </c>
      <c r="AC187" s="205" t="s">
        <v>615</v>
      </c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>
        <v>0</v>
      </c>
      <c r="B188" s="219">
        <v>1</v>
      </c>
      <c r="C188" s="205" t="s">
        <v>723</v>
      </c>
      <c r="D188" s="205" t="s">
        <v>615</v>
      </c>
      <c r="E188" s="191">
        <v>38.909999999999997</v>
      </c>
      <c r="F188" s="205" t="s">
        <v>769</v>
      </c>
      <c r="G188" s="205"/>
      <c r="H188" s="205"/>
      <c r="I188" s="205"/>
      <c r="J188"/>
      <c r="K188"/>
      <c r="L188" s="205"/>
      <c r="M188" s="205"/>
      <c r="N188" s="205"/>
      <c r="O188" s="191">
        <v>1.08</v>
      </c>
      <c r="P188" s="191">
        <v>1.0900000000000001</v>
      </c>
      <c r="Q188" s="205" t="s">
        <v>613</v>
      </c>
      <c r="R188" s="205" t="s">
        <v>772</v>
      </c>
      <c r="S188" s="205">
        <v>793442.43420000002</v>
      </c>
      <c r="T188" s="205">
        <v>2186994.7609999999</v>
      </c>
      <c r="U188" s="205">
        <v>793463.05130000005</v>
      </c>
      <c r="V188" s="205">
        <v>2187027.7629999998</v>
      </c>
      <c r="W188" s="205"/>
      <c r="X188" s="205"/>
      <c r="Y188" s="205"/>
      <c r="Z188" s="205"/>
      <c r="AA188" s="205"/>
      <c r="AB188" s="205" t="s">
        <v>615</v>
      </c>
      <c r="AC188" s="205" t="s">
        <v>613</v>
      </c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>
        <v>1</v>
      </c>
      <c r="B189" s="219">
        <v>0</v>
      </c>
      <c r="C189" s="205" t="s">
        <v>773</v>
      </c>
      <c r="D189" s="205" t="s">
        <v>774</v>
      </c>
      <c r="E189" s="191">
        <v>46.51</v>
      </c>
      <c r="F189" s="205"/>
      <c r="G189" s="205"/>
      <c r="H189" s="205"/>
      <c r="I189" s="205"/>
      <c r="J189"/>
      <c r="K189"/>
      <c r="L189" s="205"/>
      <c r="M189" s="205"/>
      <c r="N189" s="205"/>
      <c r="O189" s="191">
        <v>23.3</v>
      </c>
      <c r="P189" s="191">
        <v>19.63</v>
      </c>
      <c r="Q189" s="205" t="s">
        <v>775</v>
      </c>
      <c r="R189" s="205" t="s">
        <v>776</v>
      </c>
      <c r="S189" s="205">
        <v>792839.36179999996</v>
      </c>
      <c r="T189" s="205">
        <v>2187495.2140000002</v>
      </c>
      <c r="U189" s="205">
        <v>792883.44499999995</v>
      </c>
      <c r="V189" s="205">
        <v>2187480.3990000002</v>
      </c>
      <c r="W189" s="205"/>
      <c r="X189" s="205"/>
      <c r="Y189" s="205"/>
      <c r="Z189" s="205"/>
      <c r="AA189" s="205"/>
      <c r="AB189" s="205" t="s">
        <v>774</v>
      </c>
      <c r="AC189" s="205" t="s">
        <v>775</v>
      </c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>
        <v>0</v>
      </c>
      <c r="B190" s="219">
        <v>0</v>
      </c>
      <c r="C190" s="205" t="s">
        <v>773</v>
      </c>
      <c r="D190" s="205" t="s">
        <v>775</v>
      </c>
      <c r="E190" s="191">
        <v>45.79</v>
      </c>
      <c r="F190" s="205" t="s">
        <v>774</v>
      </c>
      <c r="G190" s="205" t="s">
        <v>777</v>
      </c>
      <c r="H190" s="205"/>
      <c r="I190" s="205"/>
      <c r="J190"/>
      <c r="K190"/>
      <c r="L190" s="205"/>
      <c r="M190" s="205"/>
      <c r="N190" s="205"/>
      <c r="O190" s="191">
        <v>19.63</v>
      </c>
      <c r="P190" s="191">
        <v>16.07</v>
      </c>
      <c r="Q190" s="205" t="s">
        <v>778</v>
      </c>
      <c r="R190" s="205" t="s">
        <v>779</v>
      </c>
      <c r="S190" s="205">
        <v>792883.44499999995</v>
      </c>
      <c r="T190" s="205">
        <v>2187480.3990000002</v>
      </c>
      <c r="U190" s="205">
        <v>792925.96239999996</v>
      </c>
      <c r="V190" s="205">
        <v>2187463.3859999999</v>
      </c>
      <c r="W190" s="205"/>
      <c r="X190" s="205"/>
      <c r="Y190" s="205"/>
      <c r="Z190" s="205"/>
      <c r="AA190" s="205"/>
      <c r="AB190" s="205" t="s">
        <v>775</v>
      </c>
      <c r="AC190" s="205" t="s">
        <v>778</v>
      </c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>
        <v>0</v>
      </c>
      <c r="B191" s="219">
        <v>0</v>
      </c>
      <c r="C191" s="205" t="s">
        <v>773</v>
      </c>
      <c r="D191" s="205" t="s">
        <v>778</v>
      </c>
      <c r="E191" s="191">
        <v>42.82</v>
      </c>
      <c r="F191" s="205" t="s">
        <v>775</v>
      </c>
      <c r="G191" s="205"/>
      <c r="H191" s="205"/>
      <c r="I191" s="205"/>
      <c r="J191"/>
      <c r="K191"/>
      <c r="L191" s="205"/>
      <c r="M191" s="205"/>
      <c r="N191" s="205"/>
      <c r="O191" s="191">
        <v>16.07</v>
      </c>
      <c r="P191" s="191">
        <v>15.65</v>
      </c>
      <c r="Q191" s="205" t="s">
        <v>780</v>
      </c>
      <c r="R191" s="205" t="s">
        <v>781</v>
      </c>
      <c r="S191" s="205">
        <v>792925.96239999996</v>
      </c>
      <c r="T191" s="205">
        <v>2187463.3859999999</v>
      </c>
      <c r="U191" s="205">
        <v>792909.52150000003</v>
      </c>
      <c r="V191" s="205">
        <v>2187423.85</v>
      </c>
      <c r="W191" s="205"/>
      <c r="X191" s="205"/>
      <c r="Y191" s="205"/>
      <c r="Z191" s="205"/>
      <c r="AA191" s="205"/>
      <c r="AB191" s="205" t="s">
        <v>778</v>
      </c>
      <c r="AC191" s="205" t="s">
        <v>780</v>
      </c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>
        <v>0</v>
      </c>
      <c r="B192" s="219">
        <v>0</v>
      </c>
      <c r="C192" s="205" t="s">
        <v>773</v>
      </c>
      <c r="D192" s="205" t="s">
        <v>780</v>
      </c>
      <c r="E192" s="191">
        <v>54.15</v>
      </c>
      <c r="F192" s="205" t="s">
        <v>778</v>
      </c>
      <c r="G192" s="205" t="s">
        <v>782</v>
      </c>
      <c r="H192" s="205"/>
      <c r="I192" s="205"/>
      <c r="J192"/>
      <c r="K192"/>
      <c r="L192" s="205"/>
      <c r="M192" s="205"/>
      <c r="N192" s="205"/>
      <c r="O192" s="191">
        <v>15.65</v>
      </c>
      <c r="P192" s="191">
        <v>11.55</v>
      </c>
      <c r="Q192" s="205" t="s">
        <v>783</v>
      </c>
      <c r="R192" s="205" t="s">
        <v>784</v>
      </c>
      <c r="S192" s="205">
        <v>792909.52150000003</v>
      </c>
      <c r="T192" s="205">
        <v>2187423.85</v>
      </c>
      <c r="U192" s="205">
        <v>792960.71100000001</v>
      </c>
      <c r="V192" s="205">
        <v>2187406.2039999999</v>
      </c>
      <c r="W192" s="205"/>
      <c r="X192" s="205"/>
      <c r="Y192" s="205"/>
      <c r="Z192" s="205"/>
      <c r="AA192" s="205"/>
      <c r="AB192" s="205" t="s">
        <v>780</v>
      </c>
      <c r="AC192" s="205" t="s">
        <v>783</v>
      </c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>
        <v>0</v>
      </c>
      <c r="B193" s="219">
        <v>0</v>
      </c>
      <c r="C193" s="205" t="s">
        <v>773</v>
      </c>
      <c r="D193" s="205" t="s">
        <v>783</v>
      </c>
      <c r="E193" s="191">
        <v>46.24</v>
      </c>
      <c r="F193" s="205" t="s">
        <v>780</v>
      </c>
      <c r="G193" s="205"/>
      <c r="H193" s="205"/>
      <c r="I193" s="205"/>
      <c r="J193"/>
      <c r="K193"/>
      <c r="L193" s="205"/>
      <c r="M193" s="205"/>
      <c r="N193" s="205"/>
      <c r="O193" s="191">
        <v>11.55</v>
      </c>
      <c r="P193" s="191">
        <v>8.9700000000000006</v>
      </c>
      <c r="Q193" s="205" t="s">
        <v>785</v>
      </c>
      <c r="R193" s="205" t="s">
        <v>786</v>
      </c>
      <c r="S193" s="205">
        <v>792960.71100000001</v>
      </c>
      <c r="T193" s="205">
        <v>2187406.2039999999</v>
      </c>
      <c r="U193" s="205">
        <v>793004.49309999996</v>
      </c>
      <c r="V193" s="205">
        <v>2187391.3289999999</v>
      </c>
      <c r="W193" s="205"/>
      <c r="X193" s="205"/>
      <c r="Y193" s="205"/>
      <c r="Z193" s="205"/>
      <c r="AA193" s="205"/>
      <c r="AB193" s="205" t="s">
        <v>783</v>
      </c>
      <c r="AC193" s="205" t="s">
        <v>785</v>
      </c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>
        <v>0</v>
      </c>
      <c r="B194" s="219">
        <v>0</v>
      </c>
      <c r="C194" s="205" t="s">
        <v>773</v>
      </c>
      <c r="D194" s="205" t="s">
        <v>785</v>
      </c>
      <c r="E194" s="191">
        <v>46.13</v>
      </c>
      <c r="F194" s="205" t="s">
        <v>783</v>
      </c>
      <c r="G194" s="205"/>
      <c r="H194" s="205"/>
      <c r="I194" s="205"/>
      <c r="J194"/>
      <c r="K194"/>
      <c r="L194" s="205"/>
      <c r="M194" s="205"/>
      <c r="N194" s="205"/>
      <c r="O194" s="191">
        <v>8.9700000000000006</v>
      </c>
      <c r="P194" s="191">
        <v>6.57</v>
      </c>
      <c r="Q194" s="205" t="s">
        <v>787</v>
      </c>
      <c r="R194" s="205" t="s">
        <v>788</v>
      </c>
      <c r="S194" s="205">
        <v>793004.49309999996</v>
      </c>
      <c r="T194" s="205">
        <v>2187391.3289999999</v>
      </c>
      <c r="U194" s="205">
        <v>793048.09450000001</v>
      </c>
      <c r="V194" s="205">
        <v>2187376.2740000002</v>
      </c>
      <c r="W194" s="205"/>
      <c r="X194" s="205"/>
      <c r="Y194" s="205"/>
      <c r="Z194" s="205"/>
      <c r="AA194" s="205"/>
      <c r="AB194" s="205" t="s">
        <v>785</v>
      </c>
      <c r="AC194" s="205" t="s">
        <v>787</v>
      </c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>
        <v>0</v>
      </c>
      <c r="B195" s="219">
        <v>0</v>
      </c>
      <c r="C195" s="205" t="s">
        <v>773</v>
      </c>
      <c r="D195" s="205" t="s">
        <v>787</v>
      </c>
      <c r="E195" s="191">
        <v>41.07</v>
      </c>
      <c r="F195" s="205" t="s">
        <v>785</v>
      </c>
      <c r="G195" s="205" t="s">
        <v>789</v>
      </c>
      <c r="H195" s="205"/>
      <c r="I195" s="205"/>
      <c r="J195"/>
      <c r="K195"/>
      <c r="L195" s="205"/>
      <c r="M195" s="205"/>
      <c r="N195" s="205"/>
      <c r="O195" s="191">
        <v>6.57</v>
      </c>
      <c r="P195" s="191">
        <v>5.67</v>
      </c>
      <c r="Q195" s="205" t="s">
        <v>790</v>
      </c>
      <c r="R195" s="205" t="s">
        <v>791</v>
      </c>
      <c r="S195" s="205">
        <v>793048.09450000001</v>
      </c>
      <c r="T195" s="205">
        <v>2187376.2740000002</v>
      </c>
      <c r="U195" s="205">
        <v>793035.05090000003</v>
      </c>
      <c r="V195" s="205">
        <v>2187337.3339999998</v>
      </c>
      <c r="W195" s="205"/>
      <c r="X195" s="205"/>
      <c r="Y195" s="205"/>
      <c r="Z195" s="205"/>
      <c r="AA195" s="205"/>
      <c r="AB195" s="205" t="s">
        <v>787</v>
      </c>
      <c r="AC195" s="205" t="s">
        <v>790</v>
      </c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>
        <v>0</v>
      </c>
      <c r="B196" s="219">
        <v>0</v>
      </c>
      <c r="C196" s="205" t="s">
        <v>773</v>
      </c>
      <c r="D196" s="205" t="s">
        <v>790</v>
      </c>
      <c r="E196" s="191">
        <v>6.07</v>
      </c>
      <c r="F196" s="205" t="s">
        <v>787</v>
      </c>
      <c r="G196" s="205"/>
      <c r="H196" s="205"/>
      <c r="I196" s="205"/>
      <c r="J196"/>
      <c r="K196"/>
      <c r="L196" s="205"/>
      <c r="M196" s="205"/>
      <c r="N196" s="205"/>
      <c r="O196" s="191">
        <v>5.67</v>
      </c>
      <c r="P196" s="191">
        <v>5.54</v>
      </c>
      <c r="Q196" s="205" t="s">
        <v>792</v>
      </c>
      <c r="R196" s="205" t="s">
        <v>793</v>
      </c>
      <c r="S196" s="205">
        <v>793035.05090000003</v>
      </c>
      <c r="T196" s="205">
        <v>2187337.3339999998</v>
      </c>
      <c r="U196" s="205">
        <v>793033.25670000003</v>
      </c>
      <c r="V196" s="205">
        <v>2187331.5380000002</v>
      </c>
      <c r="W196" s="205"/>
      <c r="X196" s="205"/>
      <c r="Y196" s="205"/>
      <c r="Z196" s="205"/>
      <c r="AA196" s="205"/>
      <c r="AB196" s="205" t="s">
        <v>790</v>
      </c>
      <c r="AC196" s="205" t="s">
        <v>792</v>
      </c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>
        <v>0</v>
      </c>
      <c r="B197" s="219">
        <v>0</v>
      </c>
      <c r="C197" s="205" t="s">
        <v>773</v>
      </c>
      <c r="D197" s="205" t="s">
        <v>792</v>
      </c>
      <c r="E197" s="191">
        <v>44.14</v>
      </c>
      <c r="F197" s="205" t="s">
        <v>790</v>
      </c>
      <c r="G197" s="205"/>
      <c r="H197" s="205"/>
      <c r="I197" s="205"/>
      <c r="J197" s="205"/>
      <c r="K197" s="205"/>
      <c r="L197" s="205"/>
      <c r="M197" s="205"/>
      <c r="N197" s="205"/>
      <c r="O197" s="191">
        <v>5.54</v>
      </c>
      <c r="P197" s="191">
        <v>4.8899999999999997</v>
      </c>
      <c r="Q197" s="205" t="s">
        <v>794</v>
      </c>
      <c r="R197" s="205" t="s">
        <v>795</v>
      </c>
      <c r="S197" s="205">
        <v>793033.25670000003</v>
      </c>
      <c r="T197" s="205">
        <v>2187331.5380000002</v>
      </c>
      <c r="U197" s="205">
        <v>793020.42119999998</v>
      </c>
      <c r="V197" s="205">
        <v>2187289.3050000002</v>
      </c>
      <c r="W197" s="205"/>
      <c r="X197" s="205"/>
      <c r="Y197" s="205"/>
      <c r="Z197" s="205"/>
      <c r="AA197" s="205"/>
      <c r="AB197" s="205" t="s">
        <v>792</v>
      </c>
      <c r="AC197" s="205" t="s">
        <v>794</v>
      </c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0"/>
      <c r="BH197" s="200"/>
      <c r="BJ197" s="200"/>
      <c r="BK197" s="200"/>
      <c r="BL197" s="200"/>
      <c r="BM197" s="200"/>
      <c r="BN197" s="200"/>
      <c r="BO197" s="200"/>
      <c r="BP197" s="200"/>
      <c r="BQ197" s="200"/>
      <c r="BR197" s="200"/>
      <c r="BS197" s="200"/>
      <c r="BT197" s="200"/>
      <c r="BU197" s="200"/>
      <c r="BV197" s="200"/>
      <c r="BW197" s="200"/>
      <c r="BX197" s="200"/>
      <c r="BY197" s="200"/>
      <c r="BZ197" s="200"/>
      <c r="CA197" s="200"/>
      <c r="CB197" s="200"/>
      <c r="CC197" s="200"/>
      <c r="CD197" s="200"/>
      <c r="CE197" s="200"/>
      <c r="CF197" s="200"/>
      <c r="CG197" s="200"/>
      <c r="CH197" s="200"/>
      <c r="CI197" s="200"/>
      <c r="CJ197" s="200"/>
      <c r="CK197" s="200"/>
      <c r="CL197" s="200"/>
      <c r="CM197" s="200"/>
      <c r="CN197" s="200"/>
      <c r="CO197" s="200"/>
      <c r="CP197" s="200"/>
      <c r="CQ197" s="200"/>
      <c r="CR197" s="200"/>
      <c r="CS197" s="200"/>
      <c r="CT197" s="200"/>
      <c r="CU197" s="200"/>
      <c r="CV197" s="200"/>
    </row>
    <row r="198" spans="1:100" x14ac:dyDescent="0.2">
      <c r="A198" s="219">
        <v>0</v>
      </c>
      <c r="B198" s="219">
        <v>0</v>
      </c>
      <c r="C198" s="205" t="s">
        <v>773</v>
      </c>
      <c r="D198" s="205" t="s">
        <v>794</v>
      </c>
      <c r="E198" s="191">
        <v>4.07</v>
      </c>
      <c r="F198" s="205" t="s">
        <v>792</v>
      </c>
      <c r="G198" s="205"/>
      <c r="H198" s="205"/>
      <c r="I198" s="205"/>
      <c r="J198"/>
      <c r="K198"/>
      <c r="L198" s="205"/>
      <c r="M198" s="205"/>
      <c r="N198" s="205"/>
      <c r="O198" s="191">
        <v>4.8899999999999997</v>
      </c>
      <c r="P198" s="191">
        <v>4.83</v>
      </c>
      <c r="Q198" s="205" t="s">
        <v>796</v>
      </c>
      <c r="R198" s="205" t="s">
        <v>797</v>
      </c>
      <c r="S198" s="205">
        <v>793020.42119999998</v>
      </c>
      <c r="T198" s="205">
        <v>2187289.3050000002</v>
      </c>
      <c r="U198" s="205">
        <v>793019.63910000003</v>
      </c>
      <c r="V198" s="205">
        <v>2187285.307</v>
      </c>
      <c r="W198" s="205"/>
      <c r="X198" s="205"/>
      <c r="Y198" s="205"/>
      <c r="Z198" s="205"/>
      <c r="AA198" s="205"/>
      <c r="AB198" s="205" t="s">
        <v>794</v>
      </c>
      <c r="AC198" s="205" t="s">
        <v>796</v>
      </c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>
        <v>0</v>
      </c>
      <c r="B199" s="219">
        <v>0</v>
      </c>
      <c r="C199" s="205" t="s">
        <v>773</v>
      </c>
      <c r="D199" s="205" t="s">
        <v>796</v>
      </c>
      <c r="E199" s="191">
        <v>40.78</v>
      </c>
      <c r="F199" s="205" t="s">
        <v>794</v>
      </c>
      <c r="G199" s="205" t="s">
        <v>798</v>
      </c>
      <c r="H199" s="205"/>
      <c r="I199" s="205"/>
      <c r="J199"/>
      <c r="K199"/>
      <c r="L199" s="205"/>
      <c r="M199" s="205"/>
      <c r="N199" s="205"/>
      <c r="O199" s="191">
        <v>4.83</v>
      </c>
      <c r="P199" s="191">
        <v>4.33</v>
      </c>
      <c r="Q199" s="205" t="s">
        <v>799</v>
      </c>
      <c r="R199" s="205" t="s">
        <v>800</v>
      </c>
      <c r="S199" s="205">
        <v>793019.63910000003</v>
      </c>
      <c r="T199" s="205">
        <v>2187285.307</v>
      </c>
      <c r="U199" s="205">
        <v>793005.10129999998</v>
      </c>
      <c r="V199" s="205">
        <v>2187247.21</v>
      </c>
      <c r="W199" s="205"/>
      <c r="X199" s="205"/>
      <c r="Y199" s="205"/>
      <c r="Z199" s="205"/>
      <c r="AA199" s="205"/>
      <c r="AB199" s="205" t="s">
        <v>796</v>
      </c>
      <c r="AC199" s="205" t="s">
        <v>799</v>
      </c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>
        <v>0</v>
      </c>
      <c r="B200" s="219">
        <v>0</v>
      </c>
      <c r="C200" s="205" t="s">
        <v>773</v>
      </c>
      <c r="D200" s="205" t="s">
        <v>799</v>
      </c>
      <c r="E200" s="191">
        <v>4.6500000000000004</v>
      </c>
      <c r="F200" s="205" t="s">
        <v>796</v>
      </c>
      <c r="G200" s="205"/>
      <c r="H200" s="205"/>
      <c r="I200" s="205"/>
      <c r="J200"/>
      <c r="K200"/>
      <c r="L200" s="205"/>
      <c r="M200" s="205"/>
      <c r="N200" s="205"/>
      <c r="O200" s="191">
        <v>4.33</v>
      </c>
      <c r="P200" s="191">
        <v>4.28</v>
      </c>
      <c r="Q200" s="205" t="s">
        <v>801</v>
      </c>
      <c r="R200" s="205" t="s">
        <v>802</v>
      </c>
      <c r="S200" s="205">
        <v>793005.10129999998</v>
      </c>
      <c r="T200" s="205">
        <v>2187247.21</v>
      </c>
      <c r="U200" s="205">
        <v>793004.35010000004</v>
      </c>
      <c r="V200" s="205">
        <v>2187242.622</v>
      </c>
      <c r="W200" s="205"/>
      <c r="X200" s="205"/>
      <c r="Y200" s="205"/>
      <c r="Z200" s="205"/>
      <c r="AA200" s="205"/>
      <c r="AB200" s="205" t="s">
        <v>799</v>
      </c>
      <c r="AC200" s="205" t="s">
        <v>801</v>
      </c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>
        <v>0</v>
      </c>
      <c r="B201" s="219">
        <v>0</v>
      </c>
      <c r="C201" s="205" t="s">
        <v>773</v>
      </c>
      <c r="D201" s="205" t="s">
        <v>801</v>
      </c>
      <c r="E201" s="191">
        <v>43.56</v>
      </c>
      <c r="F201" s="205" t="s">
        <v>799</v>
      </c>
      <c r="G201" s="205" t="s">
        <v>803</v>
      </c>
      <c r="H201" s="205"/>
      <c r="I201" s="205"/>
      <c r="J201"/>
      <c r="K201"/>
      <c r="L201" s="205"/>
      <c r="M201" s="205"/>
      <c r="N201" s="205"/>
      <c r="O201" s="191">
        <v>4.28</v>
      </c>
      <c r="P201" s="191">
        <v>4.24</v>
      </c>
      <c r="Q201" s="205" t="s">
        <v>804</v>
      </c>
      <c r="R201" s="205" t="s">
        <v>805</v>
      </c>
      <c r="S201" s="205">
        <v>793004.35010000004</v>
      </c>
      <c r="T201" s="205">
        <v>2187242.622</v>
      </c>
      <c r="U201" s="205">
        <v>792989.91949999996</v>
      </c>
      <c r="V201" s="205">
        <v>2187201.5260000001</v>
      </c>
      <c r="W201" s="205"/>
      <c r="X201" s="205"/>
      <c r="Y201" s="205"/>
      <c r="Z201" s="205"/>
      <c r="AA201" s="205"/>
      <c r="AB201" s="205" t="s">
        <v>801</v>
      </c>
      <c r="AC201" s="205" t="s">
        <v>804</v>
      </c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>
        <v>0</v>
      </c>
      <c r="B202" s="219">
        <v>0</v>
      </c>
      <c r="C202" s="205" t="s">
        <v>773</v>
      </c>
      <c r="D202" s="205" t="s">
        <v>804</v>
      </c>
      <c r="E202" s="191">
        <v>4.3499999999999996</v>
      </c>
      <c r="F202" s="205" t="s">
        <v>801</v>
      </c>
      <c r="G202" s="205"/>
      <c r="H202" s="205"/>
      <c r="I202" s="205"/>
      <c r="J202"/>
      <c r="K202"/>
      <c r="L202" s="205"/>
      <c r="M202" s="205"/>
      <c r="N202" s="205"/>
      <c r="O202" s="191">
        <v>4.24</v>
      </c>
      <c r="P202" s="191">
        <v>4.24</v>
      </c>
      <c r="Q202" s="205" t="s">
        <v>806</v>
      </c>
      <c r="R202" s="205" t="s">
        <v>807</v>
      </c>
      <c r="S202" s="205">
        <v>792989.91949999996</v>
      </c>
      <c r="T202" s="205">
        <v>2187201.5260000001</v>
      </c>
      <c r="U202" s="205">
        <v>792989.31689999998</v>
      </c>
      <c r="V202" s="205">
        <v>2187197.216</v>
      </c>
      <c r="W202" s="205"/>
      <c r="X202" s="205"/>
      <c r="Y202" s="205"/>
      <c r="Z202" s="205"/>
      <c r="AA202" s="205"/>
      <c r="AB202" s="205" t="s">
        <v>804</v>
      </c>
      <c r="AC202" s="205" t="s">
        <v>806</v>
      </c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>
        <v>0</v>
      </c>
      <c r="B203" s="219">
        <v>0</v>
      </c>
      <c r="C203" s="205" t="s">
        <v>773</v>
      </c>
      <c r="D203" s="205" t="s">
        <v>806</v>
      </c>
      <c r="E203" s="191">
        <v>46.38</v>
      </c>
      <c r="F203" s="205" t="s">
        <v>804</v>
      </c>
      <c r="G203" s="205" t="s">
        <v>808</v>
      </c>
      <c r="H203" s="205"/>
      <c r="I203" s="205"/>
      <c r="J203"/>
      <c r="K203"/>
      <c r="L203" s="205"/>
      <c r="M203" s="205"/>
      <c r="N203" s="205"/>
      <c r="O203" s="191">
        <v>4.24</v>
      </c>
      <c r="P203" s="191">
        <v>3.78</v>
      </c>
      <c r="Q203" s="205" t="s">
        <v>809</v>
      </c>
      <c r="R203" s="205" t="s">
        <v>810</v>
      </c>
      <c r="S203" s="205">
        <v>792989.31689999998</v>
      </c>
      <c r="T203" s="205">
        <v>2187197.216</v>
      </c>
      <c r="U203" s="205">
        <v>792973.08149999997</v>
      </c>
      <c r="V203" s="205">
        <v>2187153.7719999999</v>
      </c>
      <c r="W203" s="205"/>
      <c r="X203" s="205"/>
      <c r="Y203" s="205"/>
      <c r="Z203" s="205"/>
      <c r="AA203" s="205"/>
      <c r="AB203" s="205" t="s">
        <v>806</v>
      </c>
      <c r="AC203" s="205" t="s">
        <v>809</v>
      </c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>
        <v>0</v>
      </c>
      <c r="B204" s="219">
        <v>0</v>
      </c>
      <c r="C204" s="205" t="s">
        <v>773</v>
      </c>
      <c r="D204" s="205" t="s">
        <v>809</v>
      </c>
      <c r="E204" s="191">
        <v>4.71</v>
      </c>
      <c r="F204" s="205" t="s">
        <v>806</v>
      </c>
      <c r="G204" s="205"/>
      <c r="H204" s="205"/>
      <c r="I204" s="205"/>
      <c r="J204"/>
      <c r="K204"/>
      <c r="L204" s="205"/>
      <c r="M204" s="205"/>
      <c r="N204" s="205"/>
      <c r="O204" s="191">
        <v>3.78</v>
      </c>
      <c r="P204" s="191">
        <v>3.72</v>
      </c>
      <c r="Q204" s="205" t="s">
        <v>811</v>
      </c>
      <c r="R204" s="205" t="s">
        <v>812</v>
      </c>
      <c r="S204" s="205">
        <v>792973.08149999997</v>
      </c>
      <c r="T204" s="205">
        <v>2187153.7719999999</v>
      </c>
      <c r="U204" s="205">
        <v>792972.51470000006</v>
      </c>
      <c r="V204" s="205">
        <v>2187149.0980000002</v>
      </c>
      <c r="W204" s="205"/>
      <c r="X204" s="205"/>
      <c r="Y204" s="205"/>
      <c r="Z204" s="205"/>
      <c r="AA204" s="205"/>
      <c r="AB204" s="205" t="s">
        <v>809</v>
      </c>
      <c r="AC204" s="205" t="s">
        <v>811</v>
      </c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>
        <v>0</v>
      </c>
      <c r="B205" s="219">
        <v>0</v>
      </c>
      <c r="C205" s="205" t="s">
        <v>773</v>
      </c>
      <c r="D205" s="205" t="s">
        <v>811</v>
      </c>
      <c r="E205" s="191">
        <v>43.58</v>
      </c>
      <c r="F205" s="205" t="s">
        <v>809</v>
      </c>
      <c r="G205" s="205" t="s">
        <v>813</v>
      </c>
      <c r="H205" s="205"/>
      <c r="I205" s="205"/>
      <c r="J205"/>
      <c r="K205"/>
      <c r="L205" s="205"/>
      <c r="M205" s="205"/>
      <c r="N205" s="205"/>
      <c r="O205" s="191">
        <v>3.72</v>
      </c>
      <c r="P205" s="191">
        <v>3.41</v>
      </c>
      <c r="Q205" s="205" t="s">
        <v>814</v>
      </c>
      <c r="R205" s="205" t="s">
        <v>815</v>
      </c>
      <c r="S205" s="205">
        <v>792972.51470000006</v>
      </c>
      <c r="T205" s="205">
        <v>2187149.0980000002</v>
      </c>
      <c r="U205" s="205">
        <v>792959.41780000005</v>
      </c>
      <c r="V205" s="205">
        <v>2187107.537</v>
      </c>
      <c r="W205" s="205"/>
      <c r="X205" s="205"/>
      <c r="Y205" s="205"/>
      <c r="Z205" s="205"/>
      <c r="AA205" s="205"/>
      <c r="AB205" s="205" t="s">
        <v>811</v>
      </c>
      <c r="AC205" s="205" t="s">
        <v>814</v>
      </c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>
        <v>0</v>
      </c>
      <c r="B206" s="219">
        <v>1</v>
      </c>
      <c r="C206" s="205" t="s">
        <v>773</v>
      </c>
      <c r="D206" s="205" t="s">
        <v>814</v>
      </c>
      <c r="E206" s="191">
        <v>5.12</v>
      </c>
      <c r="F206" s="205" t="s">
        <v>811</v>
      </c>
      <c r="G206" s="205"/>
      <c r="H206" s="205"/>
      <c r="I206" s="205"/>
      <c r="J206"/>
      <c r="K206"/>
      <c r="L206" s="205"/>
      <c r="M206" s="205"/>
      <c r="N206" s="205"/>
      <c r="O206" s="191">
        <v>3.41</v>
      </c>
      <c r="P206" s="191">
        <v>3.35</v>
      </c>
      <c r="Q206" s="205" t="s">
        <v>816</v>
      </c>
      <c r="R206" s="205" t="s">
        <v>817</v>
      </c>
      <c r="S206" s="205">
        <v>792959.41780000005</v>
      </c>
      <c r="T206" s="205">
        <v>2187107.537</v>
      </c>
      <c r="U206" s="205">
        <v>792958.60320000001</v>
      </c>
      <c r="V206" s="205">
        <v>2187102.4849999999</v>
      </c>
      <c r="W206" s="205"/>
      <c r="X206" s="205"/>
      <c r="Y206" s="205"/>
      <c r="Z206" s="205"/>
      <c r="AA206" s="205"/>
      <c r="AB206" s="205" t="s">
        <v>814</v>
      </c>
      <c r="AC206" s="205" t="s">
        <v>816</v>
      </c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>
        <v>1</v>
      </c>
      <c r="B207" s="219">
        <v>1</v>
      </c>
      <c r="C207" s="205" t="s">
        <v>818</v>
      </c>
      <c r="D207" s="205" t="s">
        <v>777</v>
      </c>
      <c r="E207" s="191">
        <v>52.42</v>
      </c>
      <c r="F207" s="205"/>
      <c r="G207" s="205"/>
      <c r="H207" s="205"/>
      <c r="I207" s="205"/>
      <c r="J207"/>
      <c r="K207"/>
      <c r="L207" s="205"/>
      <c r="M207" s="205"/>
      <c r="N207" s="205"/>
      <c r="O207" s="191">
        <v>20.62</v>
      </c>
      <c r="P207" s="191">
        <v>19.63</v>
      </c>
      <c r="Q207" s="205" t="s">
        <v>775</v>
      </c>
      <c r="R207" s="205" t="s">
        <v>819</v>
      </c>
      <c r="S207" s="205">
        <v>792901.03009999997</v>
      </c>
      <c r="T207" s="205">
        <v>2187529.7820000001</v>
      </c>
      <c r="U207" s="205">
        <v>792883.44499999995</v>
      </c>
      <c r="V207" s="205">
        <v>2187480.3990000002</v>
      </c>
      <c r="W207" s="205"/>
      <c r="X207" s="205"/>
      <c r="Y207" s="205"/>
      <c r="Z207" s="205"/>
      <c r="AA207" s="205"/>
      <c r="AB207" s="205" t="s">
        <v>777</v>
      </c>
      <c r="AC207" s="205" t="s">
        <v>775</v>
      </c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>
        <v>1</v>
      </c>
      <c r="B208" s="219">
        <v>0</v>
      </c>
      <c r="C208" s="205" t="s">
        <v>820</v>
      </c>
      <c r="D208" s="205" t="s">
        <v>821</v>
      </c>
      <c r="E208" s="191">
        <v>45.9</v>
      </c>
      <c r="F208" s="205"/>
      <c r="G208" s="205"/>
      <c r="H208" s="205"/>
      <c r="I208" s="205" t="s">
        <v>822</v>
      </c>
      <c r="J208">
        <v>438</v>
      </c>
      <c r="K208">
        <v>180</v>
      </c>
      <c r="L208" s="205"/>
      <c r="M208" s="205"/>
      <c r="N208" s="205"/>
      <c r="O208" s="191">
        <v>24.58</v>
      </c>
      <c r="P208" s="191">
        <v>20.239999999999998</v>
      </c>
      <c r="Q208" s="205" t="s">
        <v>782</v>
      </c>
      <c r="R208" s="205" t="s">
        <v>823</v>
      </c>
      <c r="S208" s="205">
        <v>792823.76399999997</v>
      </c>
      <c r="T208" s="205">
        <v>2187450.1669999999</v>
      </c>
      <c r="U208" s="205">
        <v>792868.05799999996</v>
      </c>
      <c r="V208" s="205">
        <v>2187438.1230000001</v>
      </c>
      <c r="W208" s="205"/>
      <c r="X208" s="205"/>
      <c r="Y208" s="205"/>
      <c r="Z208" s="205"/>
      <c r="AA208" s="205"/>
      <c r="AB208" s="205" t="s">
        <v>821</v>
      </c>
      <c r="AC208" s="205" t="s">
        <v>782</v>
      </c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>
        <v>0</v>
      </c>
      <c r="B209" s="219">
        <v>1</v>
      </c>
      <c r="C209" s="205" t="s">
        <v>820</v>
      </c>
      <c r="D209" s="205" t="s">
        <v>782</v>
      </c>
      <c r="E209" s="191">
        <v>43.85</v>
      </c>
      <c r="F209" s="205" t="s">
        <v>821</v>
      </c>
      <c r="G209" s="205"/>
      <c r="H209" s="205"/>
      <c r="I209" s="205"/>
      <c r="J209"/>
      <c r="K209"/>
      <c r="L209" s="205"/>
      <c r="M209" s="205"/>
      <c r="N209" s="205"/>
      <c r="O209" s="191">
        <v>20.239999999999998</v>
      </c>
      <c r="P209" s="191">
        <v>15.65</v>
      </c>
      <c r="Q209" s="205" t="s">
        <v>780</v>
      </c>
      <c r="R209" s="205" t="s">
        <v>824</v>
      </c>
      <c r="S209" s="205">
        <v>792868.05799999996</v>
      </c>
      <c r="T209" s="205">
        <v>2187438.1230000001</v>
      </c>
      <c r="U209" s="205">
        <v>792909.52150000003</v>
      </c>
      <c r="V209" s="205">
        <v>2187423.85</v>
      </c>
      <c r="W209" s="205"/>
      <c r="X209" s="205"/>
      <c r="Y209" s="205"/>
      <c r="Z209" s="205"/>
      <c r="AA209" s="205"/>
      <c r="AB209" s="205" t="s">
        <v>782</v>
      </c>
      <c r="AC209" s="205" t="s">
        <v>780</v>
      </c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>
        <v>1</v>
      </c>
      <c r="B210" s="219">
        <v>0</v>
      </c>
      <c r="C210" s="205" t="s">
        <v>825</v>
      </c>
      <c r="D210" s="205" t="s">
        <v>826</v>
      </c>
      <c r="E210" s="191">
        <v>42.73</v>
      </c>
      <c r="F210" s="205"/>
      <c r="G210" s="205"/>
      <c r="H210" s="205"/>
      <c r="I210" s="205" t="s">
        <v>827</v>
      </c>
      <c r="J210">
        <v>152</v>
      </c>
      <c r="K210">
        <v>63</v>
      </c>
      <c r="L210" s="205"/>
      <c r="M210" s="205"/>
      <c r="N210" s="205"/>
      <c r="O210" s="191">
        <v>26.85</v>
      </c>
      <c r="P210" s="191">
        <v>23.98</v>
      </c>
      <c r="Q210" s="205" t="s">
        <v>828</v>
      </c>
      <c r="R210" s="205" t="s">
        <v>829</v>
      </c>
      <c r="S210" s="205">
        <v>792796.36259999999</v>
      </c>
      <c r="T210" s="205">
        <v>2187367.21</v>
      </c>
      <c r="U210" s="205">
        <v>792808.34699999995</v>
      </c>
      <c r="V210" s="205">
        <v>2187408.2220000001</v>
      </c>
      <c r="W210" s="205"/>
      <c r="X210" s="205"/>
      <c r="Y210" s="205"/>
      <c r="Z210" s="205"/>
      <c r="AA210" s="205"/>
      <c r="AB210" s="205" t="s">
        <v>826</v>
      </c>
      <c r="AC210" s="205" t="s">
        <v>828</v>
      </c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>
        <v>0</v>
      </c>
      <c r="B211" s="219">
        <v>0</v>
      </c>
      <c r="C211" s="205" t="s">
        <v>825</v>
      </c>
      <c r="D211" s="205" t="s">
        <v>828</v>
      </c>
      <c r="E211" s="191">
        <v>45.7</v>
      </c>
      <c r="F211" s="205" t="s">
        <v>826</v>
      </c>
      <c r="G211" s="205"/>
      <c r="H211" s="205"/>
      <c r="I211" s="205"/>
      <c r="J211" s="205"/>
      <c r="K211" s="205"/>
      <c r="L211" s="205"/>
      <c r="M211" s="205"/>
      <c r="N211" s="205"/>
      <c r="O211" s="191">
        <v>23.98</v>
      </c>
      <c r="P211" s="191">
        <v>19.600000000000001</v>
      </c>
      <c r="Q211" s="205" t="s">
        <v>830</v>
      </c>
      <c r="R211" s="205" t="s">
        <v>831</v>
      </c>
      <c r="S211" s="205">
        <v>792808.34699999995</v>
      </c>
      <c r="T211" s="205">
        <v>2187408.2220000001</v>
      </c>
      <c r="U211" s="205">
        <v>792852.4301</v>
      </c>
      <c r="V211" s="205">
        <v>2187396.1770000001</v>
      </c>
      <c r="W211" s="205"/>
      <c r="X211" s="205"/>
      <c r="Y211" s="205"/>
      <c r="Z211" s="205"/>
      <c r="AA211" s="205"/>
      <c r="AB211" s="205" t="s">
        <v>828</v>
      </c>
      <c r="AC211" s="205" t="s">
        <v>830</v>
      </c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0"/>
      <c r="BJ211" s="200"/>
      <c r="BK211" s="200"/>
      <c r="BL211" s="200"/>
      <c r="BM211" s="200"/>
      <c r="BN211" s="200"/>
      <c r="BO211" s="200"/>
      <c r="BP211" s="200"/>
      <c r="BQ211" s="200"/>
      <c r="BR211" s="200"/>
      <c r="BS211" s="200"/>
      <c r="BT211" s="200"/>
      <c r="BU211" s="200"/>
      <c r="BV211" s="200"/>
      <c r="BW211" s="200"/>
      <c r="BX211" s="200"/>
      <c r="BY211" s="200"/>
      <c r="BZ211" s="200"/>
      <c r="CA211" s="200"/>
      <c r="CB211" s="200"/>
      <c r="CC211" s="200"/>
      <c r="CD211" s="200"/>
      <c r="CE211" s="200"/>
      <c r="CF211" s="200"/>
      <c r="CG211" s="200"/>
      <c r="CH211" s="200"/>
      <c r="CI211" s="200"/>
      <c r="CJ211" s="200"/>
      <c r="CK211" s="200"/>
      <c r="CL211" s="200"/>
      <c r="CM211" s="200"/>
      <c r="CN211" s="200"/>
      <c r="CO211" s="200"/>
      <c r="CP211" s="200"/>
      <c r="CQ211" s="200"/>
      <c r="CR211" s="200"/>
      <c r="CS211" s="200"/>
      <c r="CT211" s="200"/>
      <c r="CU211" s="200"/>
      <c r="CV211" s="200"/>
    </row>
    <row r="212" spans="1:100" x14ac:dyDescent="0.2">
      <c r="A212" s="219">
        <v>0</v>
      </c>
      <c r="B212" s="219">
        <v>0</v>
      </c>
      <c r="C212" s="205" t="s">
        <v>825</v>
      </c>
      <c r="D212" s="205" t="s">
        <v>830</v>
      </c>
      <c r="E212" s="191">
        <v>44.18</v>
      </c>
      <c r="F212" s="205" t="s">
        <v>828</v>
      </c>
      <c r="G212" s="205"/>
      <c r="H212" s="205"/>
      <c r="I212" s="205"/>
      <c r="J212"/>
      <c r="K212"/>
      <c r="L212" s="205"/>
      <c r="M212" s="205"/>
      <c r="N212" s="205"/>
      <c r="O212" s="191">
        <v>19.600000000000001</v>
      </c>
      <c r="P212" s="191">
        <v>15.4</v>
      </c>
      <c r="Q212" s="205" t="s">
        <v>832</v>
      </c>
      <c r="R212" s="205" t="s">
        <v>833</v>
      </c>
      <c r="S212" s="205">
        <v>792852.4301</v>
      </c>
      <c r="T212" s="205">
        <v>2187396.1770000001</v>
      </c>
      <c r="U212" s="205">
        <v>792894.22490000003</v>
      </c>
      <c r="V212" s="205">
        <v>2187381.844</v>
      </c>
      <c r="W212" s="205"/>
      <c r="X212" s="205"/>
      <c r="Y212" s="205"/>
      <c r="Z212" s="205"/>
      <c r="AA212" s="205"/>
      <c r="AB212" s="205" t="s">
        <v>830</v>
      </c>
      <c r="AC212" s="205" t="s">
        <v>832</v>
      </c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>
        <v>0</v>
      </c>
      <c r="B213" s="219">
        <v>0</v>
      </c>
      <c r="C213" s="205" t="s">
        <v>825</v>
      </c>
      <c r="D213" s="205" t="s">
        <v>832</v>
      </c>
      <c r="E213" s="191">
        <v>48.67</v>
      </c>
      <c r="F213" s="205" t="s">
        <v>830</v>
      </c>
      <c r="G213" s="205"/>
      <c r="H213" s="205"/>
      <c r="I213" s="205"/>
      <c r="J213"/>
      <c r="K213"/>
      <c r="L213" s="205"/>
      <c r="M213" s="205"/>
      <c r="N213" s="205"/>
      <c r="O213" s="191">
        <v>15.4</v>
      </c>
      <c r="P213" s="191">
        <v>14.95</v>
      </c>
      <c r="Q213" s="205" t="s">
        <v>834</v>
      </c>
      <c r="R213" s="205" t="s">
        <v>835</v>
      </c>
      <c r="S213" s="205">
        <v>792894.22490000003</v>
      </c>
      <c r="T213" s="205">
        <v>2187381.844</v>
      </c>
      <c r="U213" s="205">
        <v>792880.61450000003</v>
      </c>
      <c r="V213" s="205">
        <v>2187335.111</v>
      </c>
      <c r="W213" s="205"/>
      <c r="X213" s="205"/>
      <c r="Y213" s="205"/>
      <c r="Z213" s="205"/>
      <c r="AA213" s="205"/>
      <c r="AB213" s="205" t="s">
        <v>832</v>
      </c>
      <c r="AC213" s="205" t="s">
        <v>834</v>
      </c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>
        <v>0</v>
      </c>
      <c r="B214" s="219">
        <v>0</v>
      </c>
      <c r="C214" s="205" t="s">
        <v>825</v>
      </c>
      <c r="D214" s="205" t="s">
        <v>834</v>
      </c>
      <c r="E214" s="191">
        <v>48.13</v>
      </c>
      <c r="F214" s="205" t="s">
        <v>832</v>
      </c>
      <c r="G214" s="205" t="s">
        <v>836</v>
      </c>
      <c r="H214" s="205"/>
      <c r="I214" s="205"/>
      <c r="J214"/>
      <c r="K214"/>
      <c r="L214" s="205"/>
      <c r="M214" s="205"/>
      <c r="N214" s="205"/>
      <c r="O214" s="191">
        <v>14.95</v>
      </c>
      <c r="P214" s="191">
        <v>10.48</v>
      </c>
      <c r="Q214" s="205" t="s">
        <v>837</v>
      </c>
      <c r="R214" s="205" t="s">
        <v>838</v>
      </c>
      <c r="S214" s="205">
        <v>792880.61450000003</v>
      </c>
      <c r="T214" s="205">
        <v>2187335.111</v>
      </c>
      <c r="U214" s="205">
        <v>792926.20319999999</v>
      </c>
      <c r="V214" s="205">
        <v>2187319.6940000001</v>
      </c>
      <c r="W214" s="205"/>
      <c r="X214" s="205"/>
      <c r="Y214" s="205"/>
      <c r="Z214" s="205"/>
      <c r="AA214" s="205"/>
      <c r="AB214" s="205" t="s">
        <v>834</v>
      </c>
      <c r="AC214" s="205" t="s">
        <v>837</v>
      </c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>
        <v>0</v>
      </c>
      <c r="B215" s="219">
        <v>0</v>
      </c>
      <c r="C215" s="205" t="s">
        <v>825</v>
      </c>
      <c r="D215" s="205" t="s">
        <v>837</v>
      </c>
      <c r="E215" s="191">
        <v>4.17</v>
      </c>
      <c r="F215" s="205" t="s">
        <v>834</v>
      </c>
      <c r="G215" s="205"/>
      <c r="H215" s="205"/>
      <c r="I215" s="205"/>
      <c r="J215"/>
      <c r="K215"/>
      <c r="L215" s="205"/>
      <c r="M215" s="205"/>
      <c r="N215" s="205"/>
      <c r="O215" s="191">
        <v>10.48</v>
      </c>
      <c r="P215" s="191">
        <v>10.23</v>
      </c>
      <c r="Q215" s="205" t="s">
        <v>839</v>
      </c>
      <c r="R215" s="205" t="s">
        <v>840</v>
      </c>
      <c r="S215" s="205">
        <v>792926.20319999999</v>
      </c>
      <c r="T215" s="205">
        <v>2187319.6940000001</v>
      </c>
      <c r="U215" s="205">
        <v>792928.73259999999</v>
      </c>
      <c r="V215" s="205">
        <v>2187316.3820000002</v>
      </c>
      <c r="W215" s="205"/>
      <c r="X215" s="205"/>
      <c r="Y215" s="205"/>
      <c r="Z215" s="205"/>
      <c r="AA215" s="205"/>
      <c r="AB215" s="205" t="s">
        <v>837</v>
      </c>
      <c r="AC215" s="205" t="s">
        <v>839</v>
      </c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>
        <v>0</v>
      </c>
      <c r="B216" s="219">
        <v>0</v>
      </c>
      <c r="C216" s="205" t="s">
        <v>825</v>
      </c>
      <c r="D216" s="205" t="s">
        <v>839</v>
      </c>
      <c r="E216" s="191">
        <v>47.57</v>
      </c>
      <c r="F216" s="205" t="s">
        <v>837</v>
      </c>
      <c r="G216" s="205" t="s">
        <v>841</v>
      </c>
      <c r="H216" s="205"/>
      <c r="I216" s="205"/>
      <c r="J216"/>
      <c r="K216"/>
      <c r="L216" s="205"/>
      <c r="M216" s="205"/>
      <c r="N216" s="205"/>
      <c r="O216" s="191">
        <v>10.23</v>
      </c>
      <c r="P216" s="191">
        <v>6.7</v>
      </c>
      <c r="Q216" s="205" t="s">
        <v>798</v>
      </c>
      <c r="R216" s="205" t="s">
        <v>842</v>
      </c>
      <c r="S216" s="205">
        <v>792928.73259999999</v>
      </c>
      <c r="T216" s="205">
        <v>2187316.3820000002</v>
      </c>
      <c r="U216" s="205">
        <v>792973.5686</v>
      </c>
      <c r="V216" s="205">
        <v>2187300.483</v>
      </c>
      <c r="W216" s="205"/>
      <c r="X216" s="205"/>
      <c r="Y216" s="205"/>
      <c r="Z216" s="205"/>
      <c r="AA216" s="205"/>
      <c r="AB216" s="205" t="s">
        <v>839</v>
      </c>
      <c r="AC216" s="205" t="s">
        <v>798</v>
      </c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>
        <v>0</v>
      </c>
      <c r="B217" s="219">
        <v>1</v>
      </c>
      <c r="C217" s="205" t="s">
        <v>825</v>
      </c>
      <c r="D217" s="205" t="s">
        <v>798</v>
      </c>
      <c r="E217" s="191">
        <v>48.51</v>
      </c>
      <c r="F217" s="205" t="s">
        <v>839</v>
      </c>
      <c r="G217" s="205" t="s">
        <v>843</v>
      </c>
      <c r="H217" s="205"/>
      <c r="I217" s="205"/>
      <c r="J217"/>
      <c r="K217"/>
      <c r="L217" s="205"/>
      <c r="M217" s="205"/>
      <c r="N217" s="205"/>
      <c r="O217" s="191">
        <v>6.7</v>
      </c>
      <c r="P217" s="191">
        <v>4.83</v>
      </c>
      <c r="Q217" s="205" t="s">
        <v>796</v>
      </c>
      <c r="R217" s="205" t="s">
        <v>844</v>
      </c>
      <c r="S217" s="205">
        <v>792973.5686</v>
      </c>
      <c r="T217" s="205">
        <v>2187300.483</v>
      </c>
      <c r="U217" s="205">
        <v>793019.63910000003</v>
      </c>
      <c r="V217" s="205">
        <v>2187285.307</v>
      </c>
      <c r="W217" s="205"/>
      <c r="X217" s="205"/>
      <c r="Y217" s="205"/>
      <c r="Z217" s="205"/>
      <c r="AA217" s="205"/>
      <c r="AB217" s="205" t="s">
        <v>798</v>
      </c>
      <c r="AC217" s="205" t="s">
        <v>796</v>
      </c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>
        <v>1</v>
      </c>
      <c r="B218" s="219">
        <v>0</v>
      </c>
      <c r="C218" s="205" t="s">
        <v>845</v>
      </c>
      <c r="D218" s="205" t="s">
        <v>846</v>
      </c>
      <c r="E218" s="191">
        <v>54.41</v>
      </c>
      <c r="F218" s="205"/>
      <c r="G218" s="205"/>
      <c r="H218" s="205"/>
      <c r="I218" s="205"/>
      <c r="J218"/>
      <c r="K218"/>
      <c r="L218" s="205"/>
      <c r="M218" s="205"/>
      <c r="N218" s="205"/>
      <c r="O218" s="191">
        <v>9.68</v>
      </c>
      <c r="P218" s="191">
        <v>7.98</v>
      </c>
      <c r="Q218" s="205" t="s">
        <v>847</v>
      </c>
      <c r="R218" s="205" t="s">
        <v>848</v>
      </c>
      <c r="S218" s="205">
        <v>793099.67539999995</v>
      </c>
      <c r="T218" s="205">
        <v>2187512.5580000002</v>
      </c>
      <c r="U218" s="205">
        <v>793151.28650000005</v>
      </c>
      <c r="V218" s="205">
        <v>2187495.3339999998</v>
      </c>
      <c r="W218" s="205"/>
      <c r="X218" s="205"/>
      <c r="Y218" s="205"/>
      <c r="Z218" s="205"/>
      <c r="AA218" s="205"/>
      <c r="AB218" s="205" t="s">
        <v>846</v>
      </c>
      <c r="AC218" s="205" t="s">
        <v>847</v>
      </c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>
        <v>0</v>
      </c>
      <c r="B219" s="219">
        <v>0</v>
      </c>
      <c r="C219" s="205" t="s">
        <v>845</v>
      </c>
      <c r="D219" s="205" t="s">
        <v>847</v>
      </c>
      <c r="E219" s="191">
        <v>46.03</v>
      </c>
      <c r="F219" s="205" t="s">
        <v>846</v>
      </c>
      <c r="G219" s="205"/>
      <c r="H219" s="205"/>
      <c r="I219" s="205"/>
      <c r="J219"/>
      <c r="K219"/>
      <c r="L219" s="205"/>
      <c r="M219" s="205"/>
      <c r="N219" s="205"/>
      <c r="O219" s="191">
        <v>7.98</v>
      </c>
      <c r="P219" s="191">
        <v>6.64</v>
      </c>
      <c r="Q219" s="205" t="s">
        <v>849</v>
      </c>
      <c r="R219" s="205" t="s">
        <v>850</v>
      </c>
      <c r="S219" s="205">
        <v>793151.28650000005</v>
      </c>
      <c r="T219" s="205">
        <v>2187495.3339999998</v>
      </c>
      <c r="U219" s="205">
        <v>793194.52650000004</v>
      </c>
      <c r="V219" s="205">
        <v>2187479.5559999999</v>
      </c>
      <c r="W219" s="205"/>
      <c r="X219" s="205"/>
      <c r="Y219" s="205"/>
      <c r="Z219" s="205"/>
      <c r="AA219" s="205"/>
      <c r="AB219" s="205" t="s">
        <v>847</v>
      </c>
      <c r="AC219" s="205" t="s">
        <v>849</v>
      </c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>
        <v>0</v>
      </c>
      <c r="B220" s="219">
        <v>0</v>
      </c>
      <c r="C220" s="205" t="s">
        <v>845</v>
      </c>
      <c r="D220" s="205" t="s">
        <v>849</v>
      </c>
      <c r="E220" s="191">
        <v>48.11</v>
      </c>
      <c r="F220" s="205" t="s">
        <v>847</v>
      </c>
      <c r="G220" s="205"/>
      <c r="H220" s="205"/>
      <c r="I220" s="205"/>
      <c r="J220"/>
      <c r="K220"/>
      <c r="L220" s="205"/>
      <c r="M220" s="205"/>
      <c r="N220" s="205"/>
      <c r="O220" s="191">
        <v>6.64</v>
      </c>
      <c r="P220" s="191">
        <v>5.58</v>
      </c>
      <c r="Q220" s="205" t="s">
        <v>577</v>
      </c>
      <c r="R220" s="205" t="s">
        <v>851</v>
      </c>
      <c r="S220" s="205">
        <v>793194.52650000004</v>
      </c>
      <c r="T220" s="205">
        <v>2187479.5559999999</v>
      </c>
      <c r="U220" s="205">
        <v>793239.21200000006</v>
      </c>
      <c r="V220" s="205">
        <v>2187461.73</v>
      </c>
      <c r="W220" s="205"/>
      <c r="X220" s="205"/>
      <c r="Y220" s="205"/>
      <c r="Z220" s="205"/>
      <c r="AA220" s="205"/>
      <c r="AB220" s="205" t="s">
        <v>849</v>
      </c>
      <c r="AC220" s="205" t="s">
        <v>577</v>
      </c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>
        <v>0</v>
      </c>
      <c r="B221" s="219">
        <v>1</v>
      </c>
      <c r="C221" s="205" t="s">
        <v>845</v>
      </c>
      <c r="D221" s="205" t="s">
        <v>577</v>
      </c>
      <c r="E221" s="191">
        <v>46.05</v>
      </c>
      <c r="F221" s="205" t="s">
        <v>849</v>
      </c>
      <c r="G221" s="205"/>
      <c r="H221" s="205"/>
      <c r="I221" s="205"/>
      <c r="J221"/>
      <c r="K221"/>
      <c r="L221" s="205"/>
      <c r="M221" s="205"/>
      <c r="N221" s="205"/>
      <c r="O221" s="191">
        <v>5.58</v>
      </c>
      <c r="P221" s="191">
        <v>5.04</v>
      </c>
      <c r="Q221" s="205" t="s">
        <v>575</v>
      </c>
      <c r="R221" s="205" t="s">
        <v>852</v>
      </c>
      <c r="S221" s="205">
        <v>793239.21200000006</v>
      </c>
      <c r="T221" s="205">
        <v>2187461.73</v>
      </c>
      <c r="U221" s="205">
        <v>793282.75309999997</v>
      </c>
      <c r="V221" s="205">
        <v>2187446.7340000002</v>
      </c>
      <c r="W221" s="205"/>
      <c r="X221" s="205"/>
      <c r="Y221" s="205"/>
      <c r="Z221" s="205"/>
      <c r="AA221" s="205"/>
      <c r="AB221" s="205" t="s">
        <v>577</v>
      </c>
      <c r="AC221" s="205" t="s">
        <v>575</v>
      </c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>
        <v>1</v>
      </c>
      <c r="B222" s="219">
        <v>1</v>
      </c>
      <c r="C222" s="205" t="s">
        <v>853</v>
      </c>
      <c r="D222" s="205" t="s">
        <v>841</v>
      </c>
      <c r="E222" s="191">
        <v>49.53</v>
      </c>
      <c r="F222" s="205"/>
      <c r="G222" s="205"/>
      <c r="H222" s="205"/>
      <c r="I222" s="205"/>
      <c r="J222"/>
      <c r="K222"/>
      <c r="L222" s="205"/>
      <c r="M222" s="205"/>
      <c r="N222" s="205"/>
      <c r="O222" s="191">
        <v>10.72</v>
      </c>
      <c r="P222" s="191">
        <v>10.23</v>
      </c>
      <c r="Q222" s="205" t="s">
        <v>839</v>
      </c>
      <c r="R222" s="205" t="s">
        <v>854</v>
      </c>
      <c r="S222" s="205">
        <v>792944.78200000001</v>
      </c>
      <c r="T222" s="205">
        <v>2187363.2349999999</v>
      </c>
      <c r="U222" s="205">
        <v>792928.73259999999</v>
      </c>
      <c r="V222" s="205">
        <v>2187316.3820000002</v>
      </c>
      <c r="W222" s="205"/>
      <c r="X222" s="205"/>
      <c r="Y222" s="205"/>
      <c r="Z222" s="205"/>
      <c r="AA222" s="205"/>
      <c r="AB222" s="205" t="s">
        <v>841</v>
      </c>
      <c r="AC222" s="205" t="s">
        <v>839</v>
      </c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>
        <v>1</v>
      </c>
      <c r="B223" s="219">
        <v>1</v>
      </c>
      <c r="C223" s="205" t="s">
        <v>855</v>
      </c>
      <c r="D223" s="205" t="s">
        <v>843</v>
      </c>
      <c r="E223" s="191">
        <v>50.07</v>
      </c>
      <c r="F223" s="205"/>
      <c r="G223" s="205"/>
      <c r="H223" s="205"/>
      <c r="I223" s="205"/>
      <c r="J223"/>
      <c r="K223"/>
      <c r="L223" s="205"/>
      <c r="M223" s="205"/>
      <c r="N223" s="205"/>
      <c r="O223" s="191">
        <v>7.64</v>
      </c>
      <c r="P223" s="191">
        <v>6.7</v>
      </c>
      <c r="Q223" s="205" t="s">
        <v>798</v>
      </c>
      <c r="R223" s="205" t="s">
        <v>856</v>
      </c>
      <c r="S223" s="205">
        <v>792988.89529999997</v>
      </c>
      <c r="T223" s="205">
        <v>2187348.1490000002</v>
      </c>
      <c r="U223" s="205">
        <v>792973.5686</v>
      </c>
      <c r="V223" s="205">
        <v>2187300.483</v>
      </c>
      <c r="W223" s="205"/>
      <c r="X223" s="205"/>
      <c r="Y223" s="205"/>
      <c r="Z223" s="205"/>
      <c r="AA223" s="205"/>
      <c r="AB223" s="205" t="s">
        <v>843</v>
      </c>
      <c r="AC223" s="205" t="s">
        <v>798</v>
      </c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>
        <v>1</v>
      </c>
      <c r="B224" s="219">
        <v>0</v>
      </c>
      <c r="C224" s="205" t="s">
        <v>857</v>
      </c>
      <c r="D224" s="205" t="s">
        <v>858</v>
      </c>
      <c r="E224" s="191">
        <v>47.44</v>
      </c>
      <c r="F224" s="205"/>
      <c r="G224" s="205"/>
      <c r="H224" s="205"/>
      <c r="I224" s="205"/>
      <c r="J224"/>
      <c r="K224"/>
      <c r="L224" s="205"/>
      <c r="M224" s="205"/>
      <c r="N224" s="205"/>
      <c r="O224" s="191">
        <v>10.25</v>
      </c>
      <c r="P224" s="191">
        <v>5.86</v>
      </c>
      <c r="Q224" s="205" t="s">
        <v>803</v>
      </c>
      <c r="R224" s="205" t="s">
        <v>859</v>
      </c>
      <c r="S224" s="205">
        <v>792916.14599999995</v>
      </c>
      <c r="T224" s="205">
        <v>2187273.7439999999</v>
      </c>
      <c r="U224" s="205">
        <v>792960.95189999999</v>
      </c>
      <c r="V224" s="205">
        <v>2187258.1460000002</v>
      </c>
      <c r="W224" s="205"/>
      <c r="X224" s="205"/>
      <c r="Y224" s="205"/>
      <c r="Z224" s="205"/>
      <c r="AA224" s="205"/>
      <c r="AB224" s="205" t="s">
        <v>858</v>
      </c>
      <c r="AC224" s="205" t="s">
        <v>803</v>
      </c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>
        <v>0</v>
      </c>
      <c r="B225" s="219">
        <v>1</v>
      </c>
      <c r="C225" s="205" t="s">
        <v>857</v>
      </c>
      <c r="D225" s="205" t="s">
        <v>803</v>
      </c>
      <c r="E225" s="191">
        <v>46.09</v>
      </c>
      <c r="F225" s="205" t="s">
        <v>858</v>
      </c>
      <c r="G225" s="205"/>
      <c r="H225" s="205"/>
      <c r="I225" s="205"/>
      <c r="J225"/>
      <c r="K225"/>
      <c r="L225" s="205"/>
      <c r="M225" s="205"/>
      <c r="N225" s="205"/>
      <c r="O225" s="191">
        <v>5.86</v>
      </c>
      <c r="P225" s="191">
        <v>4.28</v>
      </c>
      <c r="Q225" s="205" t="s">
        <v>801</v>
      </c>
      <c r="R225" s="205" t="s">
        <v>860</v>
      </c>
      <c r="S225" s="205">
        <v>792960.95189999999</v>
      </c>
      <c r="T225" s="205">
        <v>2187258.1460000002</v>
      </c>
      <c r="U225" s="205">
        <v>793004.35010000004</v>
      </c>
      <c r="V225" s="205">
        <v>2187242.622</v>
      </c>
      <c r="W225" s="205"/>
      <c r="X225" s="205"/>
      <c r="Y225" s="205"/>
      <c r="Z225" s="205"/>
      <c r="AA225" s="205"/>
      <c r="AB225" s="205" t="s">
        <v>803</v>
      </c>
      <c r="AC225" s="205" t="s">
        <v>801</v>
      </c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>
        <v>1</v>
      </c>
      <c r="B226" s="219">
        <v>0</v>
      </c>
      <c r="C226" s="205" t="s">
        <v>861</v>
      </c>
      <c r="D226" s="205" t="s">
        <v>862</v>
      </c>
      <c r="E226" s="191">
        <v>16.89</v>
      </c>
      <c r="F226" s="205"/>
      <c r="G226" s="205"/>
      <c r="H226" s="205"/>
      <c r="I226" s="205"/>
      <c r="J226"/>
      <c r="K226"/>
      <c r="L226" s="205"/>
      <c r="M226" s="205"/>
      <c r="N226" s="205"/>
      <c r="O226" s="191">
        <v>2.91</v>
      </c>
      <c r="P226" s="191">
        <v>2.87</v>
      </c>
      <c r="Q226" s="205" t="s">
        <v>863</v>
      </c>
      <c r="R226" s="205" t="s">
        <v>864</v>
      </c>
      <c r="S226" s="205">
        <v>793042.554</v>
      </c>
      <c r="T226" s="205">
        <v>2187178.5469999998</v>
      </c>
      <c r="U226" s="205">
        <v>793036.53170000005</v>
      </c>
      <c r="V226" s="205">
        <v>2187162.7680000002</v>
      </c>
      <c r="W226" s="205"/>
      <c r="X226" s="205"/>
      <c r="Y226" s="205"/>
      <c r="Z226" s="205"/>
      <c r="AA226" s="205"/>
      <c r="AB226" s="205" t="s">
        <v>862</v>
      </c>
      <c r="AC226" s="205" t="s">
        <v>863</v>
      </c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>
        <v>0</v>
      </c>
      <c r="B227" s="219">
        <v>0</v>
      </c>
      <c r="C227" s="205" t="s">
        <v>861</v>
      </c>
      <c r="D227" s="205" t="s">
        <v>863</v>
      </c>
      <c r="E227" s="191">
        <v>33.44</v>
      </c>
      <c r="F227" s="205" t="s">
        <v>862</v>
      </c>
      <c r="G227" s="205"/>
      <c r="H227" s="205"/>
      <c r="I227" s="205"/>
      <c r="J227"/>
      <c r="K227"/>
      <c r="L227" s="205"/>
      <c r="M227" s="205"/>
      <c r="N227" s="205"/>
      <c r="O227" s="191">
        <v>2.87</v>
      </c>
      <c r="P227" s="191">
        <v>2.52</v>
      </c>
      <c r="Q227" s="205" t="s">
        <v>865</v>
      </c>
      <c r="R227" s="205" t="s">
        <v>866</v>
      </c>
      <c r="S227" s="205">
        <v>793036.53170000005</v>
      </c>
      <c r="T227" s="205">
        <v>2187162.7680000002</v>
      </c>
      <c r="U227" s="205">
        <v>793024.18599999999</v>
      </c>
      <c r="V227" s="205">
        <v>2187131.693</v>
      </c>
      <c r="W227" s="205"/>
      <c r="X227" s="205"/>
      <c r="Y227" s="205"/>
      <c r="Z227" s="205"/>
      <c r="AA227" s="205"/>
      <c r="AB227" s="205" t="s">
        <v>863</v>
      </c>
      <c r="AC227" s="205" t="s">
        <v>865</v>
      </c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>
        <v>0</v>
      </c>
      <c r="B228" s="219">
        <v>0</v>
      </c>
      <c r="C228" s="205" t="s">
        <v>861</v>
      </c>
      <c r="D228" s="205" t="s">
        <v>865</v>
      </c>
      <c r="E228" s="191">
        <v>49.32</v>
      </c>
      <c r="F228" s="205" t="s">
        <v>863</v>
      </c>
      <c r="G228" s="205"/>
      <c r="H228" s="205"/>
      <c r="I228" s="205"/>
      <c r="J228"/>
      <c r="K228"/>
      <c r="L228" s="205"/>
      <c r="M228" s="205"/>
      <c r="N228" s="205"/>
      <c r="O228" s="191">
        <v>2.52</v>
      </c>
      <c r="P228" s="191">
        <v>2.31</v>
      </c>
      <c r="Q228" s="205" t="s">
        <v>867</v>
      </c>
      <c r="R228" s="205" t="s">
        <v>868</v>
      </c>
      <c r="S228" s="205">
        <v>793024.18599999999</v>
      </c>
      <c r="T228" s="205">
        <v>2187131.693</v>
      </c>
      <c r="U228" s="205">
        <v>793009.91310000001</v>
      </c>
      <c r="V228" s="205">
        <v>2187084.4780000001</v>
      </c>
      <c r="W228" s="205"/>
      <c r="X228" s="205"/>
      <c r="Y228" s="205"/>
      <c r="Z228" s="205"/>
      <c r="AA228" s="205"/>
      <c r="AB228" s="205" t="s">
        <v>865</v>
      </c>
      <c r="AC228" s="205" t="s">
        <v>867</v>
      </c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>
        <v>0</v>
      </c>
      <c r="B229" s="219">
        <v>0</v>
      </c>
      <c r="C229" s="205" t="s">
        <v>861</v>
      </c>
      <c r="D229" s="205" t="s">
        <v>867</v>
      </c>
      <c r="E229" s="191">
        <v>43.36</v>
      </c>
      <c r="F229" s="205" t="s">
        <v>865</v>
      </c>
      <c r="G229" s="205" t="s">
        <v>869</v>
      </c>
      <c r="H229" s="205"/>
      <c r="I229" s="205"/>
      <c r="J229" s="205"/>
      <c r="K229" s="205"/>
      <c r="L229" s="205"/>
      <c r="M229" s="205"/>
      <c r="N229" s="205"/>
      <c r="O229" s="191">
        <v>2.31</v>
      </c>
      <c r="P229" s="191">
        <v>2.04</v>
      </c>
      <c r="Q229" s="205" t="s">
        <v>870</v>
      </c>
      <c r="R229" s="205" t="s">
        <v>871</v>
      </c>
      <c r="S229" s="205">
        <v>793009.91310000001</v>
      </c>
      <c r="T229" s="205">
        <v>2187084.4780000001</v>
      </c>
      <c r="U229" s="205">
        <v>793050.62379999994</v>
      </c>
      <c r="V229" s="205">
        <v>2187069.5430000001</v>
      </c>
      <c r="W229" s="205"/>
      <c r="X229" s="205"/>
      <c r="Y229" s="205"/>
      <c r="Z229" s="205"/>
      <c r="AA229" s="205"/>
      <c r="AB229" s="205" t="s">
        <v>867</v>
      </c>
      <c r="AC229" s="205" t="s">
        <v>870</v>
      </c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0"/>
      <c r="BJ229" s="200"/>
      <c r="BK229" s="200"/>
      <c r="BL229" s="200"/>
      <c r="BM229" s="200"/>
      <c r="BN229" s="200"/>
      <c r="BO229" s="200"/>
      <c r="BP229" s="200"/>
      <c r="BQ229" s="200"/>
      <c r="BR229" s="200"/>
      <c r="BS229" s="200"/>
      <c r="BT229" s="200"/>
      <c r="BU229" s="200"/>
      <c r="BV229" s="200"/>
      <c r="BW229" s="200"/>
      <c r="BX229" s="200"/>
      <c r="BY229" s="200"/>
      <c r="BZ229" s="200"/>
      <c r="CA229" s="200"/>
      <c r="CB229" s="200"/>
      <c r="CC229" s="200"/>
      <c r="CD229" s="200"/>
      <c r="CE229" s="200"/>
      <c r="CF229" s="200"/>
      <c r="CG229" s="200"/>
      <c r="CH229" s="200"/>
      <c r="CI229" s="200"/>
      <c r="CK229" s="200"/>
      <c r="CL229" s="200"/>
      <c r="CM229" s="200"/>
      <c r="CN229" s="200"/>
      <c r="CO229" s="200"/>
      <c r="CP229" s="200"/>
      <c r="CQ229" s="200"/>
      <c r="CR229" s="200"/>
      <c r="CS229" s="200"/>
      <c r="CT229" s="200"/>
      <c r="CU229" s="200"/>
      <c r="CV229" s="200"/>
    </row>
    <row r="230" spans="1:100" x14ac:dyDescent="0.2">
      <c r="A230" s="219">
        <v>0</v>
      </c>
      <c r="B230" s="219">
        <v>0</v>
      </c>
      <c r="C230" s="205" t="s">
        <v>861</v>
      </c>
      <c r="D230" s="205" t="s">
        <v>870</v>
      </c>
      <c r="E230" s="191">
        <v>50.62</v>
      </c>
      <c r="F230" s="205" t="s">
        <v>867</v>
      </c>
      <c r="G230" s="205"/>
      <c r="H230" s="205"/>
      <c r="I230" s="205"/>
      <c r="J230"/>
      <c r="K230"/>
      <c r="L230" s="205"/>
      <c r="M230" s="205"/>
      <c r="N230" s="205"/>
      <c r="O230" s="191">
        <v>2.04</v>
      </c>
      <c r="P230" s="191">
        <v>1.72</v>
      </c>
      <c r="Q230" s="205" t="s">
        <v>872</v>
      </c>
      <c r="R230" s="205" t="s">
        <v>873</v>
      </c>
      <c r="S230" s="205">
        <v>793050.62379999994</v>
      </c>
      <c r="T230" s="205">
        <v>2187069.5430000001</v>
      </c>
      <c r="U230" s="205">
        <v>793097.95909999998</v>
      </c>
      <c r="V230" s="205">
        <v>2187051.5970000001</v>
      </c>
      <c r="W230" s="205"/>
      <c r="X230" s="205"/>
      <c r="Y230" s="205"/>
      <c r="Z230" s="205"/>
      <c r="AA230" s="205"/>
      <c r="AB230" s="205" t="s">
        <v>870</v>
      </c>
      <c r="AC230" s="205" t="s">
        <v>872</v>
      </c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>
        <v>0</v>
      </c>
      <c r="B231" s="219">
        <v>0</v>
      </c>
      <c r="C231" s="205" t="s">
        <v>861</v>
      </c>
      <c r="D231" s="205" t="s">
        <v>872</v>
      </c>
      <c r="E231" s="191">
        <v>44.45</v>
      </c>
      <c r="F231" s="205" t="s">
        <v>870</v>
      </c>
      <c r="G231" s="205"/>
      <c r="H231" s="205"/>
      <c r="I231" s="205"/>
      <c r="J231"/>
      <c r="K231"/>
      <c r="L231" s="205"/>
      <c r="M231" s="205"/>
      <c r="N231" s="205"/>
      <c r="O231" s="191">
        <v>1.72</v>
      </c>
      <c r="P231" s="191">
        <v>1</v>
      </c>
      <c r="Q231" s="205" t="s">
        <v>874</v>
      </c>
      <c r="R231" s="205" t="s">
        <v>875</v>
      </c>
      <c r="S231" s="205">
        <v>793097.95909999998</v>
      </c>
      <c r="T231" s="205">
        <v>2187051.5970000001</v>
      </c>
      <c r="U231" s="205">
        <v>793140.23560000001</v>
      </c>
      <c r="V231" s="205">
        <v>2187037.8659999999</v>
      </c>
      <c r="W231" s="205"/>
      <c r="X231" s="205"/>
      <c r="Y231" s="205"/>
      <c r="Z231" s="205"/>
      <c r="AA231" s="205"/>
      <c r="AB231" s="205" t="s">
        <v>872</v>
      </c>
      <c r="AC231" s="205" t="s">
        <v>874</v>
      </c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>
        <v>0</v>
      </c>
      <c r="B232" s="219">
        <v>0</v>
      </c>
      <c r="C232" s="205" t="s">
        <v>861</v>
      </c>
      <c r="D232" s="205" t="s">
        <v>874</v>
      </c>
      <c r="E232" s="191">
        <v>76.069999999999993</v>
      </c>
      <c r="F232" s="205" t="s">
        <v>872</v>
      </c>
      <c r="G232" s="205" t="s">
        <v>876</v>
      </c>
      <c r="H232" s="205"/>
      <c r="I232" s="205"/>
      <c r="J232"/>
      <c r="K232"/>
      <c r="L232" s="205"/>
      <c r="M232" s="205"/>
      <c r="N232" s="205"/>
      <c r="O232" s="191">
        <v>1</v>
      </c>
      <c r="P232" s="191">
        <v>1.28</v>
      </c>
      <c r="Q232" s="205" t="s">
        <v>877</v>
      </c>
      <c r="R232" s="205" t="s">
        <v>878</v>
      </c>
      <c r="S232" s="205">
        <v>793140.23560000001</v>
      </c>
      <c r="T232" s="205">
        <v>2187037.8659999999</v>
      </c>
      <c r="U232" s="205">
        <v>793212.14170000004</v>
      </c>
      <c r="V232" s="205">
        <v>2187013.054</v>
      </c>
      <c r="W232" s="205"/>
      <c r="X232" s="205"/>
      <c r="Y232" s="205"/>
      <c r="Z232" s="205"/>
      <c r="AA232" s="205"/>
      <c r="AB232" s="205" t="s">
        <v>874</v>
      </c>
      <c r="AC232" s="205" t="s">
        <v>877</v>
      </c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>
        <v>0</v>
      </c>
      <c r="B233" s="219">
        <v>0</v>
      </c>
      <c r="C233" s="205" t="s">
        <v>861</v>
      </c>
      <c r="D233" s="205" t="s">
        <v>877</v>
      </c>
      <c r="E233" s="191">
        <v>47.5</v>
      </c>
      <c r="F233" s="205" t="s">
        <v>874</v>
      </c>
      <c r="G233" s="205"/>
      <c r="H233" s="205"/>
      <c r="I233" s="205"/>
      <c r="J233"/>
      <c r="K233"/>
      <c r="L233" s="205"/>
      <c r="M233" s="205"/>
      <c r="N233" s="205"/>
      <c r="O233" s="191">
        <v>1.28</v>
      </c>
      <c r="P233" s="191">
        <v>1.43</v>
      </c>
      <c r="Q233" s="205" t="s">
        <v>879</v>
      </c>
      <c r="R233" s="205" t="s">
        <v>880</v>
      </c>
      <c r="S233" s="205">
        <v>793212.14170000004</v>
      </c>
      <c r="T233" s="205">
        <v>2187013.054</v>
      </c>
      <c r="U233" s="205">
        <v>793257.18850000005</v>
      </c>
      <c r="V233" s="205">
        <v>2186997.9980000001</v>
      </c>
      <c r="W233" s="205"/>
      <c r="X233" s="205"/>
      <c r="Y233" s="205"/>
      <c r="Z233" s="205"/>
      <c r="AA233" s="205"/>
      <c r="AB233" s="205" t="s">
        <v>877</v>
      </c>
      <c r="AC233" s="205" t="s">
        <v>879</v>
      </c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>
        <v>0</v>
      </c>
      <c r="B234" s="219">
        <v>0</v>
      </c>
      <c r="C234" s="205" t="s">
        <v>861</v>
      </c>
      <c r="D234" s="205" t="s">
        <v>879</v>
      </c>
      <c r="E234" s="191">
        <v>42.94</v>
      </c>
      <c r="F234" s="205" t="s">
        <v>877</v>
      </c>
      <c r="G234" s="205"/>
      <c r="H234" s="205"/>
      <c r="I234" s="205"/>
      <c r="J234"/>
      <c r="K234"/>
      <c r="L234" s="205"/>
      <c r="M234" s="205"/>
      <c r="N234" s="205"/>
      <c r="O234" s="191">
        <v>1.43</v>
      </c>
      <c r="P234" s="191">
        <v>1.19</v>
      </c>
      <c r="Q234" s="205" t="s">
        <v>881</v>
      </c>
      <c r="R234" s="205" t="s">
        <v>882</v>
      </c>
      <c r="S234" s="205">
        <v>793257.18850000005</v>
      </c>
      <c r="T234" s="205">
        <v>2186997.9980000001</v>
      </c>
      <c r="U234" s="205">
        <v>793244.3885</v>
      </c>
      <c r="V234" s="205">
        <v>2186957.0150000001</v>
      </c>
      <c r="W234" s="205"/>
      <c r="X234" s="205"/>
      <c r="Y234" s="205"/>
      <c r="Z234" s="205"/>
      <c r="AA234" s="205"/>
      <c r="AB234" s="205" t="s">
        <v>879</v>
      </c>
      <c r="AC234" s="205" t="s">
        <v>881</v>
      </c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>
        <v>0</v>
      </c>
      <c r="B235" s="219">
        <v>0</v>
      </c>
      <c r="C235" s="205" t="s">
        <v>861</v>
      </c>
      <c r="D235" s="205" t="s">
        <v>881</v>
      </c>
      <c r="E235" s="191">
        <v>31.78</v>
      </c>
      <c r="F235" s="205" t="s">
        <v>879</v>
      </c>
      <c r="G235" s="205"/>
      <c r="H235" s="205"/>
      <c r="I235" s="205"/>
      <c r="J235"/>
      <c r="K235"/>
      <c r="L235" s="205"/>
      <c r="M235" s="205"/>
      <c r="N235" s="205"/>
      <c r="O235" s="191">
        <v>1.19</v>
      </c>
      <c r="P235" s="191">
        <v>1.1599999999999999</v>
      </c>
      <c r="Q235" s="205" t="s">
        <v>883</v>
      </c>
      <c r="R235" s="205" t="s">
        <v>884</v>
      </c>
      <c r="S235" s="205">
        <v>793244.3885</v>
      </c>
      <c r="T235" s="205">
        <v>2186957.0150000001</v>
      </c>
      <c r="U235" s="205">
        <v>793274.29180000001</v>
      </c>
      <c r="V235" s="205">
        <v>2186946.267</v>
      </c>
      <c r="W235" s="205"/>
      <c r="X235" s="205"/>
      <c r="Y235" s="205"/>
      <c r="Z235" s="205"/>
      <c r="AA235" s="205"/>
      <c r="AB235" s="205" t="s">
        <v>881</v>
      </c>
      <c r="AC235" s="205" t="s">
        <v>883</v>
      </c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>
        <v>0</v>
      </c>
      <c r="B236" s="219">
        <v>0</v>
      </c>
      <c r="C236" s="205" t="s">
        <v>861</v>
      </c>
      <c r="D236" s="205" t="s">
        <v>883</v>
      </c>
      <c r="E236" s="191">
        <v>84.05</v>
      </c>
      <c r="F236" s="205" t="s">
        <v>881</v>
      </c>
      <c r="G236" s="205" t="s">
        <v>885</v>
      </c>
      <c r="H236" s="205"/>
      <c r="I236" s="205"/>
      <c r="J236"/>
      <c r="K236"/>
      <c r="L236" s="205"/>
      <c r="M236" s="205"/>
      <c r="N236" s="205"/>
      <c r="O236" s="191">
        <v>1.1599999999999999</v>
      </c>
      <c r="P236" s="191">
        <v>1.02</v>
      </c>
      <c r="Q236" s="205" t="s">
        <v>768</v>
      </c>
      <c r="R236" s="205" t="s">
        <v>886</v>
      </c>
      <c r="S236" s="205">
        <v>793274.29180000001</v>
      </c>
      <c r="T236" s="205">
        <v>2186946.267</v>
      </c>
      <c r="U236" s="205">
        <v>793352.94299999997</v>
      </c>
      <c r="V236" s="205">
        <v>2186916.6370000001</v>
      </c>
      <c r="W236" s="205"/>
      <c r="X236" s="205"/>
      <c r="Y236" s="205"/>
      <c r="Z236" s="205"/>
      <c r="AA236" s="205"/>
      <c r="AB236" s="205" t="s">
        <v>883</v>
      </c>
      <c r="AC236" s="205" t="s">
        <v>768</v>
      </c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>
        <v>0</v>
      </c>
      <c r="B237" s="219">
        <v>1</v>
      </c>
      <c r="C237" s="205" t="s">
        <v>861</v>
      </c>
      <c r="D237" s="205" t="s">
        <v>768</v>
      </c>
      <c r="E237" s="191">
        <v>31.69</v>
      </c>
      <c r="F237" s="205" t="s">
        <v>883</v>
      </c>
      <c r="G237" s="205"/>
      <c r="H237" s="205"/>
      <c r="I237" s="205"/>
      <c r="J237" s="205"/>
      <c r="K237" s="205"/>
      <c r="L237" s="205"/>
      <c r="M237" s="205"/>
      <c r="N237" s="205"/>
      <c r="O237" s="191">
        <v>1.02</v>
      </c>
      <c r="P237" s="191">
        <v>1.01</v>
      </c>
      <c r="Q237" s="205" t="s">
        <v>766</v>
      </c>
      <c r="R237" s="205" t="s">
        <v>887</v>
      </c>
      <c r="S237" s="205">
        <v>793352.94299999997</v>
      </c>
      <c r="T237" s="205">
        <v>2186916.6370000001</v>
      </c>
      <c r="U237" s="205">
        <v>793382.48230000003</v>
      </c>
      <c r="V237" s="205">
        <v>2186905.15</v>
      </c>
      <c r="W237" s="205"/>
      <c r="X237" s="205"/>
      <c r="Y237" s="205"/>
      <c r="Z237" s="205"/>
      <c r="AA237" s="205"/>
      <c r="AB237" s="205" t="s">
        <v>768</v>
      </c>
      <c r="AC237" s="205" t="s">
        <v>766</v>
      </c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0"/>
      <c r="BJ237" s="200"/>
      <c r="BK237" s="200"/>
      <c r="BL237" s="200"/>
      <c r="BM237" s="200"/>
      <c r="BN237" s="200"/>
      <c r="BO237" s="200"/>
      <c r="BP237" s="200"/>
      <c r="BQ237" s="200"/>
      <c r="BR237" s="200"/>
      <c r="BS237" s="200"/>
      <c r="BT237" s="200"/>
      <c r="BU237" s="200"/>
      <c r="BV237" s="200"/>
      <c r="BW237" s="200"/>
      <c r="BX237" s="200"/>
      <c r="BY237" s="200"/>
      <c r="BZ237" s="200"/>
      <c r="CA237" s="200"/>
      <c r="CB237" s="200"/>
      <c r="CC237" s="200"/>
      <c r="CD237" s="200"/>
      <c r="CE237" s="200"/>
      <c r="CF237" s="200"/>
      <c r="CG237" s="200"/>
      <c r="CH237" s="200"/>
      <c r="CI237" s="200"/>
      <c r="CJ237" s="200"/>
      <c r="CK237" s="200"/>
      <c r="CL237" s="200"/>
      <c r="CM237" s="200"/>
      <c r="CN237" s="200"/>
      <c r="CO237" s="200"/>
      <c r="CP237" s="200"/>
      <c r="CQ237" s="200"/>
      <c r="CR237" s="200"/>
      <c r="CS237" s="200"/>
      <c r="CT237" s="200"/>
      <c r="CU237" s="200"/>
      <c r="CV237" s="200"/>
    </row>
    <row r="238" spans="1:100" x14ac:dyDescent="0.2">
      <c r="A238" s="219">
        <v>1</v>
      </c>
      <c r="B238" s="219">
        <v>0</v>
      </c>
      <c r="C238" s="205" t="s">
        <v>888</v>
      </c>
      <c r="D238" s="205" t="s">
        <v>889</v>
      </c>
      <c r="E238" s="191">
        <v>39.42</v>
      </c>
      <c r="F238" s="205"/>
      <c r="G238" s="205"/>
      <c r="H238" s="205"/>
      <c r="I238" s="205"/>
      <c r="J238"/>
      <c r="K238"/>
      <c r="L238" s="205"/>
      <c r="M238" s="205"/>
      <c r="N238" s="205"/>
      <c r="O238" s="191">
        <v>1.18</v>
      </c>
      <c r="P238" s="191">
        <v>1.5</v>
      </c>
      <c r="Q238" s="205" t="s">
        <v>890</v>
      </c>
      <c r="R238" s="205" t="s">
        <v>891</v>
      </c>
      <c r="S238" s="205">
        <v>793275.73719999997</v>
      </c>
      <c r="T238" s="205">
        <v>2187043.2859999998</v>
      </c>
      <c r="U238" s="205">
        <v>793313.07539999997</v>
      </c>
      <c r="V238" s="205">
        <v>2187030.639</v>
      </c>
      <c r="W238" s="205"/>
      <c r="X238" s="205"/>
      <c r="Y238" s="205"/>
      <c r="Z238" s="205"/>
      <c r="AA238" s="205"/>
      <c r="AB238" s="205" t="s">
        <v>889</v>
      </c>
      <c r="AC238" s="205" t="s">
        <v>890</v>
      </c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>
        <v>0</v>
      </c>
      <c r="B239" s="219">
        <v>0</v>
      </c>
      <c r="C239" s="205" t="s">
        <v>888</v>
      </c>
      <c r="D239" s="205" t="s">
        <v>890</v>
      </c>
      <c r="E239" s="191">
        <v>50.75</v>
      </c>
      <c r="F239" s="205" t="s">
        <v>889</v>
      </c>
      <c r="G239" s="205"/>
      <c r="H239" s="205"/>
      <c r="I239" s="205"/>
      <c r="J239"/>
      <c r="K239"/>
      <c r="L239" s="205"/>
      <c r="M239" s="205"/>
      <c r="N239" s="205"/>
      <c r="O239" s="191">
        <v>1.5</v>
      </c>
      <c r="P239" s="191">
        <v>1.5</v>
      </c>
      <c r="Q239" s="205" t="s">
        <v>885</v>
      </c>
      <c r="R239" s="205" t="s">
        <v>892</v>
      </c>
      <c r="S239" s="205">
        <v>793313.07539999997</v>
      </c>
      <c r="T239" s="205">
        <v>2187030.639</v>
      </c>
      <c r="U239" s="205">
        <v>793295.73120000004</v>
      </c>
      <c r="V239" s="205">
        <v>2186982.943</v>
      </c>
      <c r="W239" s="205"/>
      <c r="X239" s="205"/>
      <c r="Y239" s="205"/>
      <c r="Z239" s="205"/>
      <c r="AA239" s="205"/>
      <c r="AB239" s="205" t="s">
        <v>890</v>
      </c>
      <c r="AC239" s="205" t="s">
        <v>885</v>
      </c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>
        <v>0</v>
      </c>
      <c r="B240" s="219">
        <v>1</v>
      </c>
      <c r="C240" s="205" t="s">
        <v>888</v>
      </c>
      <c r="D240" s="205" t="s">
        <v>885</v>
      </c>
      <c r="E240" s="191">
        <v>42.48</v>
      </c>
      <c r="F240" s="205" t="s">
        <v>890</v>
      </c>
      <c r="G240" s="205"/>
      <c r="H240" s="205"/>
      <c r="I240" s="205"/>
      <c r="J240"/>
      <c r="K240"/>
      <c r="L240" s="205"/>
      <c r="M240" s="205"/>
      <c r="N240" s="205"/>
      <c r="O240" s="191">
        <v>1.5</v>
      </c>
      <c r="P240" s="191">
        <v>1.1599999999999999</v>
      </c>
      <c r="Q240" s="205" t="s">
        <v>883</v>
      </c>
      <c r="R240" s="205" t="s">
        <v>893</v>
      </c>
      <c r="S240" s="205">
        <v>793295.73120000004</v>
      </c>
      <c r="T240" s="205">
        <v>2186982.943</v>
      </c>
      <c r="U240" s="205">
        <v>793274.29180000001</v>
      </c>
      <c r="V240" s="205">
        <v>2186946.267</v>
      </c>
      <c r="W240" s="205"/>
      <c r="X240" s="205"/>
      <c r="Y240" s="205"/>
      <c r="Z240" s="205"/>
      <c r="AA240" s="205"/>
      <c r="AB240" s="205" t="s">
        <v>885</v>
      </c>
      <c r="AC240" s="205" t="s">
        <v>883</v>
      </c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>
        <v>1</v>
      </c>
      <c r="B241" s="219">
        <v>0</v>
      </c>
      <c r="C241" s="205" t="s">
        <v>894</v>
      </c>
      <c r="D241" s="205" t="s">
        <v>895</v>
      </c>
      <c r="E241" s="191">
        <v>48.85</v>
      </c>
      <c r="F241" s="205"/>
      <c r="G241" s="205"/>
      <c r="H241" s="205"/>
      <c r="I241" s="205"/>
      <c r="J241"/>
      <c r="K241"/>
      <c r="L241" s="205"/>
      <c r="M241" s="205"/>
      <c r="N241" s="205"/>
      <c r="O241" s="191">
        <v>8.18</v>
      </c>
      <c r="P241" s="191">
        <v>4.74</v>
      </c>
      <c r="Q241" s="205" t="s">
        <v>813</v>
      </c>
      <c r="R241" s="205" t="s">
        <v>896</v>
      </c>
      <c r="S241" s="205">
        <v>792882.30070000002</v>
      </c>
      <c r="T241" s="205">
        <v>2187179.33</v>
      </c>
      <c r="U241" s="205">
        <v>792929.03370000003</v>
      </c>
      <c r="V241" s="205">
        <v>2187165.1170000001</v>
      </c>
      <c r="W241" s="205"/>
      <c r="X241" s="205"/>
      <c r="Y241" s="205"/>
      <c r="Z241" s="205"/>
      <c r="AA241" s="205"/>
      <c r="AB241" s="205" t="s">
        <v>895</v>
      </c>
      <c r="AC241" s="205" t="s">
        <v>813</v>
      </c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>
        <v>0</v>
      </c>
      <c r="B242" s="219">
        <v>1</v>
      </c>
      <c r="C242" s="205" t="s">
        <v>894</v>
      </c>
      <c r="D242" s="205" t="s">
        <v>813</v>
      </c>
      <c r="E242" s="191">
        <v>46.34</v>
      </c>
      <c r="F242" s="205" t="s">
        <v>895</v>
      </c>
      <c r="G242" s="205"/>
      <c r="H242" s="205"/>
      <c r="I242" s="205"/>
      <c r="J242"/>
      <c r="K242"/>
      <c r="L242" s="205"/>
      <c r="M242" s="205"/>
      <c r="N242" s="205"/>
      <c r="O242" s="191">
        <v>4.74</v>
      </c>
      <c r="P242" s="191">
        <v>3.72</v>
      </c>
      <c r="Q242" s="205" t="s">
        <v>811</v>
      </c>
      <c r="R242" s="205" t="s">
        <v>897</v>
      </c>
      <c r="S242" s="205">
        <v>792929.03370000003</v>
      </c>
      <c r="T242" s="205">
        <v>2187165.1170000001</v>
      </c>
      <c r="U242" s="205">
        <v>792972.51470000006</v>
      </c>
      <c r="V242" s="205">
        <v>2187149.0980000002</v>
      </c>
      <c r="W242" s="205"/>
      <c r="X242" s="205"/>
      <c r="Y242" s="205"/>
      <c r="Z242" s="205"/>
      <c r="AA242" s="205"/>
      <c r="AB242" s="205" t="s">
        <v>813</v>
      </c>
      <c r="AC242" s="205" t="s">
        <v>811</v>
      </c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>
        <v>1</v>
      </c>
      <c r="B243" s="219">
        <v>0</v>
      </c>
      <c r="C243" s="205" t="s">
        <v>898</v>
      </c>
      <c r="D243" s="205" t="s">
        <v>899</v>
      </c>
      <c r="E243" s="191">
        <v>46.91</v>
      </c>
      <c r="F243" s="205"/>
      <c r="G243" s="205"/>
      <c r="H243" s="205"/>
      <c r="I243" s="205"/>
      <c r="J243"/>
      <c r="K243"/>
      <c r="L243" s="205"/>
      <c r="M243" s="205"/>
      <c r="N243" s="205"/>
      <c r="O243" s="191">
        <v>4.93</v>
      </c>
      <c r="P243" s="191">
        <v>3.35</v>
      </c>
      <c r="Q243" s="205" t="s">
        <v>816</v>
      </c>
      <c r="R243" s="205" t="s">
        <v>900</v>
      </c>
      <c r="S243" s="205">
        <v>792915.36309999996</v>
      </c>
      <c r="T243" s="205">
        <v>2187120.6719999998</v>
      </c>
      <c r="U243" s="205">
        <v>792958.60320000001</v>
      </c>
      <c r="V243" s="205">
        <v>2187102.4849999999</v>
      </c>
      <c r="W243" s="205"/>
      <c r="X243" s="205"/>
      <c r="Y243" s="205"/>
      <c r="Z243" s="205"/>
      <c r="AA243" s="205"/>
      <c r="AB243" s="205" t="s">
        <v>899</v>
      </c>
      <c r="AC243" s="205" t="s">
        <v>816</v>
      </c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>
        <v>0</v>
      </c>
      <c r="B244" s="219">
        <v>0</v>
      </c>
      <c r="C244" s="205" t="s">
        <v>898</v>
      </c>
      <c r="D244" s="205" t="s">
        <v>816</v>
      </c>
      <c r="E244" s="191">
        <v>5.57</v>
      </c>
      <c r="F244" s="205" t="s">
        <v>899</v>
      </c>
      <c r="G244" s="205" t="s">
        <v>814</v>
      </c>
      <c r="H244" s="205" t="s">
        <v>901</v>
      </c>
      <c r="I244" s="205"/>
      <c r="J244"/>
      <c r="K244"/>
      <c r="L244" s="205"/>
      <c r="M244" s="205"/>
      <c r="N244" s="205"/>
      <c r="O244" s="191">
        <v>3.35</v>
      </c>
      <c r="P244" s="191">
        <v>3.21</v>
      </c>
      <c r="Q244" s="205" t="s">
        <v>869</v>
      </c>
      <c r="R244" s="205" t="s">
        <v>902</v>
      </c>
      <c r="S244" s="205">
        <v>792958.60320000001</v>
      </c>
      <c r="T244" s="205">
        <v>2187102.4849999999</v>
      </c>
      <c r="U244" s="205">
        <v>792963.78240000003</v>
      </c>
      <c r="V244" s="205">
        <v>2187100.4369999999</v>
      </c>
      <c r="W244" s="205"/>
      <c r="X244" s="205"/>
      <c r="Y244" s="205"/>
      <c r="Z244" s="205"/>
      <c r="AA244" s="205"/>
      <c r="AB244" s="205" t="s">
        <v>816</v>
      </c>
      <c r="AC244" s="205" t="s">
        <v>869</v>
      </c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>
        <v>0</v>
      </c>
      <c r="B245" s="219">
        <v>1</v>
      </c>
      <c r="C245" s="205" t="s">
        <v>898</v>
      </c>
      <c r="D245" s="205" t="s">
        <v>869</v>
      </c>
      <c r="E245" s="191">
        <v>48.81</v>
      </c>
      <c r="F245" s="205" t="s">
        <v>816</v>
      </c>
      <c r="G245" s="205"/>
      <c r="H245" s="205"/>
      <c r="I245" s="205"/>
      <c r="J245"/>
      <c r="K245"/>
      <c r="L245" s="205"/>
      <c r="M245" s="205"/>
      <c r="N245" s="205"/>
      <c r="O245" s="191">
        <v>3.21</v>
      </c>
      <c r="P245" s="191">
        <v>2.31</v>
      </c>
      <c r="Q245" s="205" t="s">
        <v>867</v>
      </c>
      <c r="R245" s="205" t="s">
        <v>903</v>
      </c>
      <c r="S245" s="205">
        <v>792963.78240000003</v>
      </c>
      <c r="T245" s="205">
        <v>2187100.4369999999</v>
      </c>
      <c r="U245" s="205">
        <v>793009.91310000001</v>
      </c>
      <c r="V245" s="205">
        <v>2187084.4780000001</v>
      </c>
      <c r="W245" s="205"/>
      <c r="X245" s="205"/>
      <c r="Y245" s="205"/>
      <c r="Z245" s="205"/>
      <c r="AA245" s="205"/>
      <c r="AB245" s="205" t="s">
        <v>869</v>
      </c>
      <c r="AC245" s="205" t="s">
        <v>867</v>
      </c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>
        <v>1</v>
      </c>
      <c r="B246" s="219">
        <v>1</v>
      </c>
      <c r="C246" s="205" t="s">
        <v>904</v>
      </c>
      <c r="D246" s="205" t="s">
        <v>905</v>
      </c>
      <c r="E246" s="191">
        <v>47.8</v>
      </c>
      <c r="F246" s="205"/>
      <c r="G246" s="205"/>
      <c r="H246" s="205"/>
      <c r="I246" s="205"/>
      <c r="J246"/>
      <c r="K246"/>
      <c r="L246" s="205"/>
      <c r="M246" s="205"/>
      <c r="N246" s="205"/>
      <c r="O246" s="191">
        <v>5.5</v>
      </c>
      <c r="P246" s="191">
        <v>3.24</v>
      </c>
      <c r="Q246" s="205" t="s">
        <v>901</v>
      </c>
      <c r="R246" s="205" t="s">
        <v>906</v>
      </c>
      <c r="S246" s="205">
        <v>792899.22340000002</v>
      </c>
      <c r="T246" s="205">
        <v>2187075.5649999999</v>
      </c>
      <c r="U246" s="205">
        <v>792944.75190000003</v>
      </c>
      <c r="V246" s="205">
        <v>2187060.9909999999</v>
      </c>
      <c r="W246" s="205"/>
      <c r="X246" s="205"/>
      <c r="Y246" s="205"/>
      <c r="Z246" s="205"/>
      <c r="AA246" s="205"/>
      <c r="AB246" s="205" t="s">
        <v>905</v>
      </c>
      <c r="AC246" s="205" t="s">
        <v>901</v>
      </c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>
        <v>1</v>
      </c>
      <c r="B247" s="219">
        <v>1</v>
      </c>
      <c r="C247" s="205" t="s">
        <v>907</v>
      </c>
      <c r="D247" s="205" t="s">
        <v>908</v>
      </c>
      <c r="E247" s="191">
        <v>50.07</v>
      </c>
      <c r="F247" s="205"/>
      <c r="G247" s="205"/>
      <c r="H247" s="205"/>
      <c r="I247" s="205"/>
      <c r="J247" s="205"/>
      <c r="K247" s="205"/>
      <c r="L247" s="205"/>
      <c r="M247" s="205"/>
      <c r="N247" s="205"/>
      <c r="O247" s="191">
        <v>6.35</v>
      </c>
      <c r="P247" s="191">
        <v>3.53</v>
      </c>
      <c r="Q247" s="205" t="s">
        <v>909</v>
      </c>
      <c r="R247" s="205" t="s">
        <v>910</v>
      </c>
      <c r="S247" s="205">
        <v>792876.7</v>
      </c>
      <c r="T247" s="205">
        <v>2187019.9190000002</v>
      </c>
      <c r="U247" s="205">
        <v>792924.63740000001</v>
      </c>
      <c r="V247" s="205">
        <v>2187005.466</v>
      </c>
      <c r="W247" s="205"/>
      <c r="X247" s="205"/>
      <c r="Y247" s="205"/>
      <c r="Z247" s="205"/>
      <c r="AA247" s="205"/>
      <c r="AB247" s="205" t="s">
        <v>908</v>
      </c>
      <c r="AC247" s="205" t="s">
        <v>909</v>
      </c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0"/>
      <c r="BH247" s="200"/>
      <c r="BJ247" s="200"/>
      <c r="BK247" s="200"/>
      <c r="BL247" s="200"/>
      <c r="BM247" s="200"/>
      <c r="BN247" s="200"/>
      <c r="BO247" s="200"/>
      <c r="BP247" s="200"/>
      <c r="BQ247" s="200"/>
      <c r="BR247" s="200"/>
      <c r="BS247" s="200"/>
      <c r="BT247" s="200"/>
      <c r="BU247" s="200"/>
      <c r="BV247" s="200"/>
      <c r="BW247" s="200"/>
      <c r="BX247" s="200"/>
      <c r="BY247" s="200"/>
      <c r="BZ247" s="200"/>
      <c r="CA247" s="200"/>
      <c r="CB247" s="200"/>
      <c r="CC247" s="200"/>
      <c r="CD247" s="200"/>
      <c r="CE247" s="200"/>
      <c r="CF247" s="200"/>
      <c r="CG247" s="200"/>
      <c r="CH247" s="200"/>
      <c r="CI247" s="200"/>
      <c r="CJ247" s="200"/>
      <c r="CK247" s="200"/>
      <c r="CL247" s="200"/>
      <c r="CM247" s="200"/>
      <c r="CN247" s="200"/>
      <c r="CO247" s="200"/>
      <c r="CP247" s="200"/>
      <c r="CQ247" s="200"/>
      <c r="CR247" s="200"/>
      <c r="CS247" s="200"/>
      <c r="CT247" s="200"/>
      <c r="CU247" s="200"/>
      <c r="CV247" s="200"/>
    </row>
    <row r="248" spans="1:100" x14ac:dyDescent="0.2">
      <c r="A248" s="219">
        <v>1</v>
      </c>
      <c r="B248" s="219">
        <v>0</v>
      </c>
      <c r="C248" s="205" t="s">
        <v>911</v>
      </c>
      <c r="D248" s="205" t="s">
        <v>912</v>
      </c>
      <c r="E248" s="191">
        <v>54.89</v>
      </c>
      <c r="F248" s="205"/>
      <c r="G248" s="205"/>
      <c r="H248" s="205"/>
      <c r="I248" s="205"/>
      <c r="J248"/>
      <c r="K248"/>
      <c r="L248" s="205"/>
      <c r="M248" s="205"/>
      <c r="N248" s="205"/>
      <c r="O248" s="191">
        <v>8.5</v>
      </c>
      <c r="P248" s="191">
        <v>7.23</v>
      </c>
      <c r="Q248" s="205" t="s">
        <v>913</v>
      </c>
      <c r="R248" s="205" t="s">
        <v>914</v>
      </c>
      <c r="S248" s="205">
        <v>793082.99369999999</v>
      </c>
      <c r="T248" s="205">
        <v>2187460.8870000001</v>
      </c>
      <c r="U248" s="205">
        <v>793135.38760000002</v>
      </c>
      <c r="V248" s="205">
        <v>2187444.5060000001</v>
      </c>
      <c r="W248" s="205"/>
      <c r="X248" s="205"/>
      <c r="Y248" s="205"/>
      <c r="Z248" s="205"/>
      <c r="AA248" s="205"/>
      <c r="AB248" s="205" t="s">
        <v>912</v>
      </c>
      <c r="AC248" s="205" t="s">
        <v>913</v>
      </c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>
        <v>0</v>
      </c>
      <c r="B249" s="219">
        <v>0</v>
      </c>
      <c r="C249" s="205" t="s">
        <v>911</v>
      </c>
      <c r="D249" s="205" t="s">
        <v>913</v>
      </c>
      <c r="E249" s="191">
        <v>44.17</v>
      </c>
      <c r="F249" s="205" t="s">
        <v>912</v>
      </c>
      <c r="G249" s="205"/>
      <c r="H249" s="205"/>
      <c r="I249" s="205"/>
      <c r="J249"/>
      <c r="K249"/>
      <c r="L249" s="205"/>
      <c r="M249" s="205"/>
      <c r="N249" s="205"/>
      <c r="O249" s="191">
        <v>7.23</v>
      </c>
      <c r="P249" s="191">
        <v>5.82</v>
      </c>
      <c r="Q249" s="205" t="s">
        <v>915</v>
      </c>
      <c r="R249" s="205" t="s">
        <v>916</v>
      </c>
      <c r="S249" s="205">
        <v>793135.38760000002</v>
      </c>
      <c r="T249" s="205">
        <v>2187444.5060000001</v>
      </c>
      <c r="U249" s="205">
        <v>793178.1459</v>
      </c>
      <c r="V249" s="205">
        <v>2187433.4249999998</v>
      </c>
      <c r="W249" s="205"/>
      <c r="X249" s="205"/>
      <c r="Y249" s="205"/>
      <c r="Z249" s="205"/>
      <c r="AA249" s="205"/>
      <c r="AB249" s="205" t="s">
        <v>913</v>
      </c>
      <c r="AC249" s="205" t="s">
        <v>915</v>
      </c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>
        <v>0</v>
      </c>
      <c r="B250" s="219">
        <v>0</v>
      </c>
      <c r="C250" s="205" t="s">
        <v>911</v>
      </c>
      <c r="D250" s="205" t="s">
        <v>915</v>
      </c>
      <c r="E250" s="191">
        <v>49.89</v>
      </c>
      <c r="F250" s="205" t="s">
        <v>913</v>
      </c>
      <c r="G250" s="205"/>
      <c r="H250" s="205"/>
      <c r="I250" s="205"/>
      <c r="J250"/>
      <c r="K250"/>
      <c r="L250" s="205"/>
      <c r="M250" s="205"/>
      <c r="N250" s="205"/>
      <c r="O250" s="191">
        <v>5.82</v>
      </c>
      <c r="P250" s="191">
        <v>4.67</v>
      </c>
      <c r="Q250" s="205" t="s">
        <v>580</v>
      </c>
      <c r="R250" s="205" t="s">
        <v>917</v>
      </c>
      <c r="S250" s="205">
        <v>793178.1459</v>
      </c>
      <c r="T250" s="205">
        <v>2187433.4249999998</v>
      </c>
      <c r="U250" s="205">
        <v>793225.78220000002</v>
      </c>
      <c r="V250" s="205">
        <v>2187418.61</v>
      </c>
      <c r="W250" s="205"/>
      <c r="X250" s="205"/>
      <c r="Y250" s="205"/>
      <c r="Z250" s="205"/>
      <c r="AA250" s="205"/>
      <c r="AB250" s="205" t="s">
        <v>915</v>
      </c>
      <c r="AC250" s="205" t="s">
        <v>580</v>
      </c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>
        <v>0</v>
      </c>
      <c r="B251" s="219">
        <v>1</v>
      </c>
      <c r="C251" s="205" t="s">
        <v>911</v>
      </c>
      <c r="D251" s="205" t="s">
        <v>580</v>
      </c>
      <c r="E251" s="191">
        <v>44.06</v>
      </c>
      <c r="F251" s="205" t="s">
        <v>915</v>
      </c>
      <c r="G251" s="205"/>
      <c r="H251" s="205"/>
      <c r="I251" s="205"/>
      <c r="J251"/>
      <c r="K251"/>
      <c r="L251" s="205"/>
      <c r="M251" s="205"/>
      <c r="N251" s="205"/>
      <c r="O251" s="191">
        <v>4.67</v>
      </c>
      <c r="P251" s="191">
        <v>4.0999999999999996</v>
      </c>
      <c r="Q251" s="205" t="s">
        <v>578</v>
      </c>
      <c r="R251" s="205" t="s">
        <v>918</v>
      </c>
      <c r="S251" s="205">
        <v>793225.78220000002</v>
      </c>
      <c r="T251" s="205">
        <v>2187418.61</v>
      </c>
      <c r="U251" s="205">
        <v>793267.81779999996</v>
      </c>
      <c r="V251" s="205">
        <v>2187405.4210000001</v>
      </c>
      <c r="W251" s="205"/>
      <c r="X251" s="205"/>
      <c r="Y251" s="205"/>
      <c r="Z251" s="205"/>
      <c r="AA251" s="205"/>
      <c r="AB251" s="205" t="s">
        <v>580</v>
      </c>
      <c r="AC251" s="205" t="s">
        <v>578</v>
      </c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>
        <v>1</v>
      </c>
      <c r="B252" s="219">
        <v>0</v>
      </c>
      <c r="C252" s="205" t="s">
        <v>919</v>
      </c>
      <c r="D252" s="205" t="s">
        <v>920</v>
      </c>
      <c r="E252" s="191">
        <v>48.48</v>
      </c>
      <c r="F252" s="205"/>
      <c r="G252" s="205"/>
      <c r="H252" s="205"/>
      <c r="I252" s="205"/>
      <c r="J252"/>
      <c r="K252"/>
      <c r="L252" s="205"/>
      <c r="M252" s="205"/>
      <c r="N252" s="205"/>
      <c r="O252" s="191">
        <v>11.97</v>
      </c>
      <c r="P252" s="191">
        <v>4.32</v>
      </c>
      <c r="Q252" s="205" t="s">
        <v>921</v>
      </c>
      <c r="R252" s="205" t="s">
        <v>922</v>
      </c>
      <c r="S252" s="205">
        <v>792864.05319999997</v>
      </c>
      <c r="T252" s="205">
        <v>2186972.2230000002</v>
      </c>
      <c r="U252" s="205">
        <v>792910.78619999997</v>
      </c>
      <c r="V252" s="205">
        <v>2186959.335</v>
      </c>
      <c r="W252" s="205"/>
      <c r="X252" s="205"/>
      <c r="Y252" s="205"/>
      <c r="Z252" s="205"/>
      <c r="AA252" s="205"/>
      <c r="AB252" s="205" t="s">
        <v>920</v>
      </c>
      <c r="AC252" s="205" t="s">
        <v>921</v>
      </c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>
        <v>0</v>
      </c>
      <c r="B253" s="219">
        <v>0</v>
      </c>
      <c r="C253" s="205" t="s">
        <v>919</v>
      </c>
      <c r="D253" s="205" t="s">
        <v>921</v>
      </c>
      <c r="E253" s="191">
        <v>43.5</v>
      </c>
      <c r="F253" s="205" t="s">
        <v>920</v>
      </c>
      <c r="G253" s="205"/>
      <c r="H253" s="205"/>
      <c r="I253" s="205"/>
      <c r="J253"/>
      <c r="K253"/>
      <c r="L253" s="205"/>
      <c r="M253" s="205"/>
      <c r="N253" s="205"/>
      <c r="O253" s="191">
        <v>4.32</v>
      </c>
      <c r="P253" s="191">
        <v>3.63</v>
      </c>
      <c r="Q253" s="205" t="s">
        <v>923</v>
      </c>
      <c r="R253" s="205" t="s">
        <v>924</v>
      </c>
      <c r="S253" s="205">
        <v>792910.78619999997</v>
      </c>
      <c r="T253" s="205">
        <v>2186959.335</v>
      </c>
      <c r="U253" s="205">
        <v>792922.96420000005</v>
      </c>
      <c r="V253" s="205">
        <v>2187001.091</v>
      </c>
      <c r="W253" s="205"/>
      <c r="X253" s="205"/>
      <c r="Y253" s="205"/>
      <c r="Z253" s="205"/>
      <c r="AA253" s="205"/>
      <c r="AB253" s="205" t="s">
        <v>921</v>
      </c>
      <c r="AC253" s="205" t="s">
        <v>923</v>
      </c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>
        <v>0</v>
      </c>
      <c r="B254" s="219">
        <v>0</v>
      </c>
      <c r="C254" s="205" t="s">
        <v>919</v>
      </c>
      <c r="D254" s="205" t="s">
        <v>923</v>
      </c>
      <c r="E254" s="191">
        <v>4.68</v>
      </c>
      <c r="F254" s="205" t="s">
        <v>921</v>
      </c>
      <c r="G254" s="205"/>
      <c r="H254" s="205"/>
      <c r="I254" s="205"/>
      <c r="J254" s="205"/>
      <c r="K254" s="205"/>
      <c r="L254" s="205"/>
      <c r="M254" s="205"/>
      <c r="N254" s="205"/>
      <c r="O254" s="191">
        <v>3.63</v>
      </c>
      <c r="P254" s="191">
        <v>3.53</v>
      </c>
      <c r="Q254" s="205" t="s">
        <v>909</v>
      </c>
      <c r="R254" s="205" t="s">
        <v>925</v>
      </c>
      <c r="S254" s="205">
        <v>792922.96420000005</v>
      </c>
      <c r="T254" s="205">
        <v>2187001.091</v>
      </c>
      <c r="U254" s="205">
        <v>792924.63740000001</v>
      </c>
      <c r="V254" s="205">
        <v>2187005.466</v>
      </c>
      <c r="W254" s="205"/>
      <c r="X254" s="205"/>
      <c r="Y254" s="205"/>
      <c r="Z254" s="205"/>
      <c r="AA254" s="205"/>
      <c r="AB254" s="205" t="s">
        <v>923</v>
      </c>
      <c r="AC254" s="205" t="s">
        <v>909</v>
      </c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0"/>
      <c r="BJ254" s="200"/>
      <c r="BK254" s="200"/>
      <c r="BL254" s="200"/>
      <c r="BM254" s="200"/>
      <c r="BN254" s="200"/>
      <c r="BO254" s="200"/>
      <c r="BP254" s="200"/>
      <c r="BQ254" s="200"/>
      <c r="BR254" s="200"/>
      <c r="BS254" s="200"/>
      <c r="BT254" s="200"/>
      <c r="BU254" s="200"/>
      <c r="BV254" s="200"/>
      <c r="BW254" s="200"/>
      <c r="BX254" s="200"/>
      <c r="BY254" s="200"/>
      <c r="BZ254" s="200"/>
      <c r="CA254" s="200"/>
      <c r="CB254" s="200"/>
      <c r="CC254" s="200"/>
      <c r="CD254" s="200"/>
      <c r="CE254" s="200"/>
      <c r="CF254" s="200"/>
      <c r="CG254" s="200"/>
      <c r="CH254" s="200"/>
      <c r="CI254" s="200"/>
      <c r="CJ254" s="200"/>
      <c r="CK254" s="200"/>
      <c r="CL254" s="200"/>
      <c r="CM254" s="200"/>
      <c r="CN254" s="200"/>
      <c r="CP254" s="200"/>
      <c r="CQ254" s="200"/>
      <c r="CR254" s="200"/>
      <c r="CS254" s="200"/>
      <c r="CT254" s="200"/>
      <c r="CU254" s="200"/>
      <c r="CV254" s="200"/>
    </row>
    <row r="255" spans="1:100" x14ac:dyDescent="0.2">
      <c r="A255" s="219">
        <v>0</v>
      </c>
      <c r="B255" s="219">
        <v>0</v>
      </c>
      <c r="C255" s="205" t="s">
        <v>919</v>
      </c>
      <c r="D255" s="205" t="s">
        <v>909</v>
      </c>
      <c r="E255" s="191">
        <v>54.38</v>
      </c>
      <c r="F255" s="205" t="s">
        <v>923</v>
      </c>
      <c r="G255" s="205" t="s">
        <v>908</v>
      </c>
      <c r="H255" s="205"/>
      <c r="I255" s="205"/>
      <c r="J255"/>
      <c r="K255"/>
      <c r="L255" s="205"/>
      <c r="M255" s="205"/>
      <c r="N255" s="205"/>
      <c r="O255" s="191">
        <v>3.53</v>
      </c>
      <c r="P255" s="191">
        <v>3.27</v>
      </c>
      <c r="Q255" s="205" t="s">
        <v>926</v>
      </c>
      <c r="R255" s="205" t="s">
        <v>927</v>
      </c>
      <c r="S255" s="205">
        <v>792924.63740000001</v>
      </c>
      <c r="T255" s="205">
        <v>2187005.466</v>
      </c>
      <c r="U255" s="205">
        <v>792942.83860000002</v>
      </c>
      <c r="V255" s="205">
        <v>2187056.7119999998</v>
      </c>
      <c r="W255" s="205"/>
      <c r="X255" s="205"/>
      <c r="Y255" s="205"/>
      <c r="Z255" s="205"/>
      <c r="AA255" s="205"/>
      <c r="AB255" s="205" t="s">
        <v>909</v>
      </c>
      <c r="AC255" s="205" t="s">
        <v>926</v>
      </c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>
        <v>0</v>
      </c>
      <c r="B256" s="219">
        <v>0</v>
      </c>
      <c r="C256" s="205" t="s">
        <v>919</v>
      </c>
      <c r="D256" s="205" t="s">
        <v>926</v>
      </c>
      <c r="E256" s="191">
        <v>4.6900000000000004</v>
      </c>
      <c r="F256" s="205" t="s">
        <v>909</v>
      </c>
      <c r="G256" s="205"/>
      <c r="H256" s="205"/>
      <c r="I256" s="205"/>
      <c r="J256"/>
      <c r="K256"/>
      <c r="L256" s="205"/>
      <c r="M256" s="205"/>
      <c r="N256" s="205"/>
      <c r="O256" s="191">
        <v>3.27</v>
      </c>
      <c r="P256" s="191">
        <v>3.24</v>
      </c>
      <c r="Q256" s="205" t="s">
        <v>901</v>
      </c>
      <c r="R256" s="205" t="s">
        <v>928</v>
      </c>
      <c r="S256" s="205">
        <v>792942.83860000002</v>
      </c>
      <c r="T256" s="205">
        <v>2187056.7119999998</v>
      </c>
      <c r="U256" s="205">
        <v>792944.75190000003</v>
      </c>
      <c r="V256" s="205">
        <v>2187060.9909999999</v>
      </c>
      <c r="W256" s="205"/>
      <c r="X256" s="205"/>
      <c r="Y256" s="205"/>
      <c r="Z256" s="205"/>
      <c r="AA256" s="205"/>
      <c r="AB256" s="205" t="s">
        <v>926</v>
      </c>
      <c r="AC256" s="205" t="s">
        <v>901</v>
      </c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>
        <v>0</v>
      </c>
      <c r="B257" s="219">
        <v>1</v>
      </c>
      <c r="C257" s="205" t="s">
        <v>919</v>
      </c>
      <c r="D257" s="205" t="s">
        <v>901</v>
      </c>
      <c r="E257" s="191">
        <v>43.74</v>
      </c>
      <c r="F257" s="205" t="s">
        <v>926</v>
      </c>
      <c r="G257" s="205" t="s">
        <v>905</v>
      </c>
      <c r="H257" s="205"/>
      <c r="I257" s="205"/>
      <c r="J257"/>
      <c r="K257"/>
      <c r="L257" s="205"/>
      <c r="M257" s="205"/>
      <c r="N257" s="205"/>
      <c r="O257" s="191">
        <v>3.24</v>
      </c>
      <c r="P257" s="191">
        <v>3.35</v>
      </c>
      <c r="Q257" s="205" t="s">
        <v>816</v>
      </c>
      <c r="R257" s="205" t="s">
        <v>929</v>
      </c>
      <c r="S257" s="205">
        <v>792944.75190000003</v>
      </c>
      <c r="T257" s="205">
        <v>2187060.9909999999</v>
      </c>
      <c r="U257" s="205">
        <v>792958.60320000001</v>
      </c>
      <c r="V257" s="205">
        <v>2187102.4849999999</v>
      </c>
      <c r="W257" s="205"/>
      <c r="X257" s="205"/>
      <c r="Y257" s="205"/>
      <c r="Z257" s="205"/>
      <c r="AA257" s="205"/>
      <c r="AB257" s="205" t="s">
        <v>901</v>
      </c>
      <c r="AC257" s="205" t="s">
        <v>816</v>
      </c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>
        <v>1</v>
      </c>
      <c r="B258" s="219">
        <v>0</v>
      </c>
      <c r="C258" s="205" t="s">
        <v>930</v>
      </c>
      <c r="D258" s="205" t="s">
        <v>931</v>
      </c>
      <c r="E258" s="191">
        <v>36.83</v>
      </c>
      <c r="F258" s="205"/>
      <c r="G258" s="205"/>
      <c r="H258" s="205"/>
      <c r="I258" s="205"/>
      <c r="J258"/>
      <c r="K258"/>
      <c r="L258" s="205"/>
      <c r="M258" s="205"/>
      <c r="N258" s="205"/>
      <c r="O258" s="191">
        <v>3.15</v>
      </c>
      <c r="P258" s="191">
        <v>2.5</v>
      </c>
      <c r="Q258" s="205" t="s">
        <v>932</v>
      </c>
      <c r="R258" s="205" t="s">
        <v>933</v>
      </c>
      <c r="S258" s="205">
        <v>792948.36529999995</v>
      </c>
      <c r="T258" s="205">
        <v>2186905.3149999999</v>
      </c>
      <c r="U258" s="205">
        <v>792960.04850000003</v>
      </c>
      <c r="V258" s="205">
        <v>2186940.2439999999</v>
      </c>
      <c r="W258" s="205"/>
      <c r="X258" s="205"/>
      <c r="Y258" s="205"/>
      <c r="Z258" s="205"/>
      <c r="AA258" s="205"/>
      <c r="AB258" s="205" t="s">
        <v>931</v>
      </c>
      <c r="AC258" s="205" t="s">
        <v>932</v>
      </c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>
        <v>0</v>
      </c>
      <c r="B259" s="219">
        <v>0</v>
      </c>
      <c r="C259" s="205" t="s">
        <v>930</v>
      </c>
      <c r="D259" s="205" t="s">
        <v>932</v>
      </c>
      <c r="E259" s="191">
        <v>3.82</v>
      </c>
      <c r="F259" s="205" t="s">
        <v>931</v>
      </c>
      <c r="G259" s="205"/>
      <c r="H259" s="205"/>
      <c r="I259" s="205"/>
      <c r="J259"/>
      <c r="K259"/>
      <c r="L259" s="205"/>
      <c r="M259" s="205"/>
      <c r="N259" s="205"/>
      <c r="O259" s="191">
        <v>2.5</v>
      </c>
      <c r="P259" s="191">
        <v>2.4500000000000002</v>
      </c>
      <c r="Q259" s="205" t="s">
        <v>934</v>
      </c>
      <c r="R259" s="205" t="s">
        <v>935</v>
      </c>
      <c r="S259" s="205">
        <v>792960.04850000003</v>
      </c>
      <c r="T259" s="205">
        <v>2186940.2439999999</v>
      </c>
      <c r="U259" s="205">
        <v>792963.84259999997</v>
      </c>
      <c r="V259" s="205">
        <v>2186940.6660000002</v>
      </c>
      <c r="W259" s="205"/>
      <c r="X259" s="205"/>
      <c r="Y259" s="205"/>
      <c r="Z259" s="205"/>
      <c r="AA259" s="205"/>
      <c r="AB259" s="205" t="s">
        <v>932</v>
      </c>
      <c r="AC259" s="205" t="s">
        <v>934</v>
      </c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>
        <v>0</v>
      </c>
      <c r="B260" s="219">
        <v>0</v>
      </c>
      <c r="C260" s="205" t="s">
        <v>930</v>
      </c>
      <c r="D260" s="205" t="s">
        <v>934</v>
      </c>
      <c r="E260" s="191">
        <v>16.559999999999999</v>
      </c>
      <c r="F260" s="205" t="s">
        <v>932</v>
      </c>
      <c r="G260" s="205"/>
      <c r="H260" s="205"/>
      <c r="I260" s="205"/>
      <c r="J260"/>
      <c r="K260"/>
      <c r="L260" s="205"/>
      <c r="M260" s="205"/>
      <c r="N260" s="205"/>
      <c r="O260" s="191">
        <v>2.4500000000000002</v>
      </c>
      <c r="P260" s="191">
        <v>2.06</v>
      </c>
      <c r="Q260" s="205" t="s">
        <v>936</v>
      </c>
      <c r="R260" s="205" t="s">
        <v>937</v>
      </c>
      <c r="S260" s="205">
        <v>792963.84259999997</v>
      </c>
      <c r="T260" s="205">
        <v>2186940.6660000002</v>
      </c>
      <c r="U260" s="205">
        <v>792979.74140000006</v>
      </c>
      <c r="V260" s="205">
        <v>2186936.0290000001</v>
      </c>
      <c r="W260" s="205"/>
      <c r="X260" s="205"/>
      <c r="Y260" s="205"/>
      <c r="Z260" s="205"/>
      <c r="AA260" s="205"/>
      <c r="AB260" s="205" t="s">
        <v>934</v>
      </c>
      <c r="AC260" s="205" t="s">
        <v>936</v>
      </c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>
        <v>0</v>
      </c>
      <c r="B261" s="219">
        <v>0</v>
      </c>
      <c r="C261" s="205" t="s">
        <v>930</v>
      </c>
      <c r="D261" s="205" t="s">
        <v>936</v>
      </c>
      <c r="E261" s="191">
        <v>25.28</v>
      </c>
      <c r="F261" s="205" t="s">
        <v>934</v>
      </c>
      <c r="G261" s="205"/>
      <c r="H261" s="205"/>
      <c r="I261" s="205"/>
      <c r="J261"/>
      <c r="K261"/>
      <c r="L261" s="205"/>
      <c r="M261" s="205"/>
      <c r="N261" s="205"/>
      <c r="O261" s="191">
        <v>2.06</v>
      </c>
      <c r="P261" s="191">
        <v>2.2200000000000002</v>
      </c>
      <c r="Q261" s="205" t="s">
        <v>938</v>
      </c>
      <c r="R261" s="205" t="s">
        <v>939</v>
      </c>
      <c r="S261" s="205">
        <v>792979.74140000006</v>
      </c>
      <c r="T261" s="205">
        <v>2186936.0290000001</v>
      </c>
      <c r="U261" s="205">
        <v>793003.10789999994</v>
      </c>
      <c r="V261" s="205">
        <v>2186926.3930000002</v>
      </c>
      <c r="W261" s="205"/>
      <c r="X261" s="205"/>
      <c r="Y261" s="205"/>
      <c r="Z261" s="205"/>
      <c r="AA261" s="205"/>
      <c r="AB261" s="205" t="s">
        <v>936</v>
      </c>
      <c r="AC261" s="205" t="s">
        <v>938</v>
      </c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>
        <v>0</v>
      </c>
      <c r="B262" s="219">
        <v>0</v>
      </c>
      <c r="C262" s="205" t="s">
        <v>930</v>
      </c>
      <c r="D262" s="205" t="s">
        <v>938</v>
      </c>
      <c r="E262" s="191">
        <v>47.74</v>
      </c>
      <c r="F262" s="205" t="s">
        <v>936</v>
      </c>
      <c r="G262" s="205"/>
      <c r="H262" s="205"/>
      <c r="I262" s="205"/>
      <c r="J262"/>
      <c r="K262"/>
      <c r="L262" s="205"/>
      <c r="M262" s="205"/>
      <c r="N262" s="205"/>
      <c r="O262" s="191">
        <v>2.2200000000000002</v>
      </c>
      <c r="P262" s="191">
        <v>1.5</v>
      </c>
      <c r="Q262" s="205" t="s">
        <v>940</v>
      </c>
      <c r="R262" s="205" t="s">
        <v>941</v>
      </c>
      <c r="S262" s="205">
        <v>793003.10789999994</v>
      </c>
      <c r="T262" s="205">
        <v>2186926.3930000002</v>
      </c>
      <c r="U262" s="205">
        <v>793048.33539999998</v>
      </c>
      <c r="V262" s="205">
        <v>2186911.0970000001</v>
      </c>
      <c r="W262" s="205"/>
      <c r="X262" s="205"/>
      <c r="Y262" s="205"/>
      <c r="Z262" s="205"/>
      <c r="AA262" s="205"/>
      <c r="AB262" s="205" t="s">
        <v>938</v>
      </c>
      <c r="AC262" s="205" t="s">
        <v>940</v>
      </c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>
        <v>0</v>
      </c>
      <c r="B263" s="219">
        <v>0</v>
      </c>
      <c r="C263" s="205" t="s">
        <v>930</v>
      </c>
      <c r="D263" s="205" t="s">
        <v>940</v>
      </c>
      <c r="E263" s="191">
        <v>46.91</v>
      </c>
      <c r="F263" s="205" t="s">
        <v>938</v>
      </c>
      <c r="G263" s="205"/>
      <c r="H263" s="205"/>
      <c r="I263" s="205"/>
      <c r="J263"/>
      <c r="K263"/>
      <c r="L263" s="205"/>
      <c r="M263" s="205"/>
      <c r="N263" s="205"/>
      <c r="O263" s="191">
        <v>1.5</v>
      </c>
      <c r="P263" s="191">
        <v>1.88</v>
      </c>
      <c r="Q263" s="205" t="s">
        <v>942</v>
      </c>
      <c r="R263" s="205" t="s">
        <v>943</v>
      </c>
      <c r="S263" s="205">
        <v>793048.33539999998</v>
      </c>
      <c r="T263" s="205">
        <v>2186911.0970000001</v>
      </c>
      <c r="U263" s="205">
        <v>793093.02080000006</v>
      </c>
      <c r="V263" s="205">
        <v>2186896.824</v>
      </c>
      <c r="W263" s="205"/>
      <c r="X263" s="205"/>
      <c r="Y263" s="205"/>
      <c r="Z263" s="205"/>
      <c r="AA263" s="205"/>
      <c r="AB263" s="205" t="s">
        <v>940</v>
      </c>
      <c r="AC263" s="205" t="s">
        <v>942</v>
      </c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>
        <v>0</v>
      </c>
      <c r="B264" s="219">
        <v>0</v>
      </c>
      <c r="C264" s="205" t="s">
        <v>930</v>
      </c>
      <c r="D264" s="205" t="s">
        <v>942</v>
      </c>
      <c r="E264" s="191">
        <v>66.91</v>
      </c>
      <c r="F264" s="205" t="s">
        <v>940</v>
      </c>
      <c r="G264" s="205"/>
      <c r="H264" s="205"/>
      <c r="I264" s="205"/>
      <c r="J264"/>
      <c r="K264"/>
      <c r="L264" s="205"/>
      <c r="M264" s="205"/>
      <c r="N264" s="205"/>
      <c r="O264" s="191">
        <v>1.88</v>
      </c>
      <c r="P264" s="191">
        <v>0.99</v>
      </c>
      <c r="Q264" s="205" t="s">
        <v>944</v>
      </c>
      <c r="R264" s="205" t="s">
        <v>945</v>
      </c>
      <c r="S264" s="205">
        <v>793093.02080000006</v>
      </c>
      <c r="T264" s="205">
        <v>2186896.824</v>
      </c>
      <c r="U264" s="205">
        <v>793156.79689999996</v>
      </c>
      <c r="V264" s="205">
        <v>2186876.5890000002</v>
      </c>
      <c r="W264" s="205"/>
      <c r="X264" s="205"/>
      <c r="Y264" s="205"/>
      <c r="Z264" s="205"/>
      <c r="AA264" s="205"/>
      <c r="AB264" s="205" t="s">
        <v>942</v>
      </c>
      <c r="AC264" s="205" t="s">
        <v>944</v>
      </c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>
        <v>0</v>
      </c>
      <c r="B265" s="219">
        <v>0</v>
      </c>
      <c r="C265" s="205" t="s">
        <v>930</v>
      </c>
      <c r="D265" s="205" t="s">
        <v>944</v>
      </c>
      <c r="E265" s="191">
        <v>48.29</v>
      </c>
      <c r="F265" s="205" t="s">
        <v>942</v>
      </c>
      <c r="G265" s="205"/>
      <c r="H265" s="205"/>
      <c r="I265" s="205"/>
      <c r="J265"/>
      <c r="K265"/>
      <c r="L265" s="205"/>
      <c r="M265" s="205"/>
      <c r="N265" s="205"/>
      <c r="O265" s="191">
        <v>0.99</v>
      </c>
      <c r="P265" s="191">
        <v>0.5</v>
      </c>
      <c r="Q265" s="205" t="s">
        <v>946</v>
      </c>
      <c r="R265" s="205" t="s">
        <v>947</v>
      </c>
      <c r="S265" s="205">
        <v>793156.79689999996</v>
      </c>
      <c r="T265" s="205">
        <v>2186876.5890000002</v>
      </c>
      <c r="U265" s="205">
        <v>793202.20499999996</v>
      </c>
      <c r="V265" s="205">
        <v>2186860.148</v>
      </c>
      <c r="W265" s="205"/>
      <c r="X265" s="205"/>
      <c r="Y265" s="205"/>
      <c r="Z265" s="205"/>
      <c r="AA265" s="205"/>
      <c r="AB265" s="205" t="s">
        <v>944</v>
      </c>
      <c r="AC265" s="205" t="s">
        <v>946</v>
      </c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>
        <v>0</v>
      </c>
      <c r="B266" s="219">
        <v>0</v>
      </c>
      <c r="C266" s="205" t="s">
        <v>930</v>
      </c>
      <c r="D266" s="205" t="s">
        <v>946</v>
      </c>
      <c r="E266" s="191">
        <v>8.67</v>
      </c>
      <c r="F266" s="205" t="s">
        <v>944</v>
      </c>
      <c r="G266" s="205"/>
      <c r="H266" s="205"/>
      <c r="I266" s="205"/>
      <c r="J266"/>
      <c r="K266"/>
      <c r="L266" s="205"/>
      <c r="M266" s="205"/>
      <c r="N266" s="205"/>
      <c r="O266" s="191">
        <v>0.5</v>
      </c>
      <c r="P266" s="191">
        <v>0.5</v>
      </c>
      <c r="Q266" s="205" t="s">
        <v>948</v>
      </c>
      <c r="R266" s="205" t="s">
        <v>949</v>
      </c>
      <c r="S266" s="205">
        <v>793202.20499999996</v>
      </c>
      <c r="T266" s="205">
        <v>2186860.148</v>
      </c>
      <c r="U266" s="205">
        <v>793210.75659999996</v>
      </c>
      <c r="V266" s="205">
        <v>2186858.7030000002</v>
      </c>
      <c r="W266" s="205"/>
      <c r="X266" s="205"/>
      <c r="Y266" s="205"/>
      <c r="Z266" s="205"/>
      <c r="AA266" s="205"/>
      <c r="AB266" s="205" t="s">
        <v>946</v>
      </c>
      <c r="AC266" s="205" t="s">
        <v>948</v>
      </c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>
        <v>0</v>
      </c>
      <c r="B267" s="219">
        <v>0</v>
      </c>
      <c r="C267" s="205" t="s">
        <v>930</v>
      </c>
      <c r="D267" s="205" t="s">
        <v>948</v>
      </c>
      <c r="E267" s="191">
        <v>6.03</v>
      </c>
      <c r="F267" s="205" t="s">
        <v>946</v>
      </c>
      <c r="G267" s="205"/>
      <c r="H267" s="205"/>
      <c r="I267" s="205"/>
      <c r="J267"/>
      <c r="K267"/>
      <c r="L267" s="205"/>
      <c r="M267" s="205"/>
      <c r="N267" s="205"/>
      <c r="O267" s="191">
        <v>0.5</v>
      </c>
      <c r="P267" s="191">
        <v>0.5</v>
      </c>
      <c r="Q267" s="205" t="s">
        <v>754</v>
      </c>
      <c r="R267" s="205" t="s">
        <v>950</v>
      </c>
      <c r="S267" s="205">
        <v>793210.75659999996</v>
      </c>
      <c r="T267" s="205">
        <v>2186858.7030000002</v>
      </c>
      <c r="U267" s="205">
        <v>793216.74879999994</v>
      </c>
      <c r="V267" s="205">
        <v>2186859.335</v>
      </c>
      <c r="W267" s="205"/>
      <c r="X267" s="205"/>
      <c r="Y267" s="205"/>
      <c r="Z267" s="205"/>
      <c r="AA267" s="205"/>
      <c r="AB267" s="205" t="s">
        <v>948</v>
      </c>
      <c r="AC267" s="205" t="s">
        <v>754</v>
      </c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>
        <v>0</v>
      </c>
      <c r="B268" s="219">
        <v>1</v>
      </c>
      <c r="C268" s="205" t="s">
        <v>930</v>
      </c>
      <c r="D268" s="205" t="s">
        <v>754</v>
      </c>
      <c r="E268" s="191">
        <v>33.58</v>
      </c>
      <c r="F268" s="205" t="s">
        <v>948</v>
      </c>
      <c r="G268" s="205" t="s">
        <v>951</v>
      </c>
      <c r="H268" s="205"/>
      <c r="I268" s="205"/>
      <c r="J268"/>
      <c r="K268"/>
      <c r="L268" s="205"/>
      <c r="M268" s="205"/>
      <c r="N268" s="205"/>
      <c r="O268" s="191">
        <v>0.5</v>
      </c>
      <c r="P268" s="191">
        <v>0.73</v>
      </c>
      <c r="Q268" s="205" t="s">
        <v>752</v>
      </c>
      <c r="R268" s="205" t="s">
        <v>952</v>
      </c>
      <c r="S268" s="205">
        <v>793216.74879999994</v>
      </c>
      <c r="T268" s="205">
        <v>2186859.335</v>
      </c>
      <c r="U268" s="205">
        <v>793242.76509999996</v>
      </c>
      <c r="V268" s="205">
        <v>2186838.1090000002</v>
      </c>
      <c r="W268" s="205"/>
      <c r="X268" s="205"/>
      <c r="Y268" s="205"/>
      <c r="Z268" s="205"/>
      <c r="AA268" s="205"/>
      <c r="AB268" s="205" t="s">
        <v>754</v>
      </c>
      <c r="AC268" s="205" t="s">
        <v>752</v>
      </c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>
        <v>1</v>
      </c>
      <c r="B269" s="219">
        <v>1</v>
      </c>
      <c r="C269" s="205" t="s">
        <v>953</v>
      </c>
      <c r="D269" s="205" t="s">
        <v>744</v>
      </c>
      <c r="E269" s="191">
        <v>46.63</v>
      </c>
      <c r="F269" s="205"/>
      <c r="G269" s="205"/>
      <c r="H269" s="205"/>
      <c r="I269" s="205"/>
      <c r="J269"/>
      <c r="K269"/>
      <c r="L269" s="205"/>
      <c r="M269" s="205"/>
      <c r="N269" s="205"/>
      <c r="O269" s="191">
        <v>1.52</v>
      </c>
      <c r="P269" s="191">
        <v>1.24</v>
      </c>
      <c r="Q269" s="205" t="s">
        <v>742</v>
      </c>
      <c r="R269" s="205" t="s">
        <v>954</v>
      </c>
      <c r="S269" s="205">
        <v>793033.67110000004</v>
      </c>
      <c r="T269" s="205">
        <v>2186868.8199999998</v>
      </c>
      <c r="U269" s="205">
        <v>793077.87470000004</v>
      </c>
      <c r="V269" s="205">
        <v>2186853.96</v>
      </c>
      <c r="W269" s="205"/>
      <c r="X269" s="205"/>
      <c r="Y269" s="205"/>
      <c r="Z269" s="205"/>
      <c r="AA269" s="205"/>
      <c r="AB269" s="205" t="s">
        <v>744</v>
      </c>
      <c r="AC269" s="205" t="s">
        <v>742</v>
      </c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>
        <v>1</v>
      </c>
      <c r="B270" s="219">
        <v>0</v>
      </c>
      <c r="C270" s="205" t="s">
        <v>955</v>
      </c>
      <c r="D270" s="205" t="s">
        <v>956</v>
      </c>
      <c r="E270" s="191">
        <v>65.12</v>
      </c>
      <c r="F270" s="205"/>
      <c r="G270" s="205"/>
      <c r="H270" s="205"/>
      <c r="I270" s="205"/>
      <c r="J270"/>
      <c r="K270"/>
      <c r="L270" s="205"/>
      <c r="M270" s="205"/>
      <c r="N270" s="205"/>
      <c r="O270" s="191">
        <v>1.06</v>
      </c>
      <c r="P270" s="191">
        <v>1.23</v>
      </c>
      <c r="Q270" s="205" t="s">
        <v>957</v>
      </c>
      <c r="R270" s="205" t="s">
        <v>958</v>
      </c>
      <c r="S270" s="205">
        <v>793108.04639999999</v>
      </c>
      <c r="T270" s="205">
        <v>2186939.0099999998</v>
      </c>
      <c r="U270" s="205">
        <v>793170.01580000005</v>
      </c>
      <c r="V270" s="205">
        <v>2186919.0159999998</v>
      </c>
      <c r="W270" s="205"/>
      <c r="X270" s="205"/>
      <c r="Y270" s="205"/>
      <c r="Z270" s="205"/>
      <c r="AA270" s="205"/>
      <c r="AB270" s="205" t="s">
        <v>956</v>
      </c>
      <c r="AC270" s="205" t="s">
        <v>957</v>
      </c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>
        <v>0</v>
      </c>
      <c r="B271" s="219">
        <v>0</v>
      </c>
      <c r="C271" s="205" t="s">
        <v>955</v>
      </c>
      <c r="D271" s="205" t="s">
        <v>957</v>
      </c>
      <c r="E271" s="191">
        <v>53.38</v>
      </c>
      <c r="F271" s="205" t="s">
        <v>956</v>
      </c>
      <c r="G271" s="205"/>
      <c r="H271" s="205"/>
      <c r="I271" s="205"/>
      <c r="J271"/>
      <c r="K271"/>
      <c r="L271" s="205"/>
      <c r="M271" s="205"/>
      <c r="N271" s="205"/>
      <c r="O271" s="191">
        <v>1.23</v>
      </c>
      <c r="P271" s="191">
        <v>0.57999999999999996</v>
      </c>
      <c r="Q271" s="205" t="s">
        <v>959</v>
      </c>
      <c r="R271" s="205" t="s">
        <v>960</v>
      </c>
      <c r="S271" s="205">
        <v>793170.01580000005</v>
      </c>
      <c r="T271" s="205">
        <v>2186919.0159999998</v>
      </c>
      <c r="U271" s="205">
        <v>793220.24170000001</v>
      </c>
      <c r="V271" s="205">
        <v>2186900.949</v>
      </c>
      <c r="W271" s="205"/>
      <c r="X271" s="205"/>
      <c r="Y271" s="205"/>
      <c r="Z271" s="205"/>
      <c r="AA271" s="205"/>
      <c r="AB271" s="205" t="s">
        <v>957</v>
      </c>
      <c r="AC271" s="205" t="s">
        <v>959</v>
      </c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>
        <v>0</v>
      </c>
      <c r="B272" s="219">
        <v>0</v>
      </c>
      <c r="C272" s="205" t="s">
        <v>955</v>
      </c>
      <c r="D272" s="205" t="s">
        <v>959</v>
      </c>
      <c r="E272" s="191">
        <v>15.81</v>
      </c>
      <c r="F272" s="205" t="s">
        <v>957</v>
      </c>
      <c r="G272" s="205"/>
      <c r="H272" s="205"/>
      <c r="I272" s="205"/>
      <c r="J272"/>
      <c r="K272"/>
      <c r="L272" s="205"/>
      <c r="M272" s="205"/>
      <c r="N272" s="205"/>
      <c r="O272" s="191">
        <v>0.57999999999999996</v>
      </c>
      <c r="P272" s="191">
        <v>0.54</v>
      </c>
      <c r="Q272" s="205" t="s">
        <v>961</v>
      </c>
      <c r="R272" s="205" t="s">
        <v>962</v>
      </c>
      <c r="S272" s="205">
        <v>793220.24170000001</v>
      </c>
      <c r="T272" s="205">
        <v>2186900.949</v>
      </c>
      <c r="U272" s="205">
        <v>793235.29749999999</v>
      </c>
      <c r="V272" s="205">
        <v>2186896.1310000001</v>
      </c>
      <c r="W272" s="205"/>
      <c r="X272" s="205"/>
      <c r="Y272" s="205"/>
      <c r="Z272" s="205"/>
      <c r="AA272" s="205"/>
      <c r="AB272" s="205" t="s">
        <v>959</v>
      </c>
      <c r="AC272" s="205" t="s">
        <v>961</v>
      </c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>
        <v>0</v>
      </c>
      <c r="B273" s="219">
        <v>0</v>
      </c>
      <c r="C273" s="205" t="s">
        <v>955</v>
      </c>
      <c r="D273" s="205" t="s">
        <v>961</v>
      </c>
      <c r="E273" s="191">
        <v>5.03</v>
      </c>
      <c r="F273" s="205" t="s">
        <v>959</v>
      </c>
      <c r="G273" s="205"/>
      <c r="H273" s="205"/>
      <c r="I273" s="205"/>
      <c r="J273"/>
      <c r="K273"/>
      <c r="L273" s="205"/>
      <c r="M273" s="205"/>
      <c r="N273" s="205"/>
      <c r="O273" s="191">
        <v>0.54</v>
      </c>
      <c r="P273" s="191">
        <v>0.73</v>
      </c>
      <c r="Q273" s="205" t="s">
        <v>951</v>
      </c>
      <c r="R273" s="205" t="s">
        <v>963</v>
      </c>
      <c r="S273" s="205">
        <v>793235.29749999999</v>
      </c>
      <c r="T273" s="205">
        <v>2186896.1310000001</v>
      </c>
      <c r="U273" s="205">
        <v>793239.99479999999</v>
      </c>
      <c r="V273" s="205">
        <v>2186894.324</v>
      </c>
      <c r="W273" s="205"/>
      <c r="X273" s="205"/>
      <c r="Y273" s="205"/>
      <c r="Z273" s="205"/>
      <c r="AA273" s="205"/>
      <c r="AB273" s="205" t="s">
        <v>961</v>
      </c>
      <c r="AC273" s="205" t="s">
        <v>951</v>
      </c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>
        <v>0</v>
      </c>
      <c r="B274" s="219">
        <v>1</v>
      </c>
      <c r="C274" s="205" t="s">
        <v>955</v>
      </c>
      <c r="D274" s="205" t="s">
        <v>951</v>
      </c>
      <c r="E274" s="191">
        <v>42.01</v>
      </c>
      <c r="F274" s="205" t="s">
        <v>961</v>
      </c>
      <c r="G274" s="205"/>
      <c r="H274" s="205"/>
      <c r="I274" s="205"/>
      <c r="J274"/>
      <c r="K274"/>
      <c r="L274" s="205"/>
      <c r="M274" s="205"/>
      <c r="N274" s="205"/>
      <c r="O274" s="191">
        <v>0.73</v>
      </c>
      <c r="P274" s="191">
        <v>0.5</v>
      </c>
      <c r="Q274" s="205" t="s">
        <v>754</v>
      </c>
      <c r="R274" s="205" t="s">
        <v>964</v>
      </c>
      <c r="S274" s="205">
        <v>793239.99479999999</v>
      </c>
      <c r="T274" s="205">
        <v>2186894.324</v>
      </c>
      <c r="U274" s="205">
        <v>793216.74879999994</v>
      </c>
      <c r="V274" s="205">
        <v>2186859.335</v>
      </c>
      <c r="W274" s="205"/>
      <c r="X274" s="205"/>
      <c r="Y274" s="205"/>
      <c r="Z274" s="205"/>
      <c r="AA274" s="205"/>
      <c r="AB274" s="205" t="s">
        <v>951</v>
      </c>
      <c r="AC274" s="205" t="s">
        <v>754</v>
      </c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>
        <v>1</v>
      </c>
      <c r="B275" s="219">
        <v>1</v>
      </c>
      <c r="C275" s="205" t="s">
        <v>965</v>
      </c>
      <c r="D275" s="205" t="s">
        <v>836</v>
      </c>
      <c r="E275" s="191">
        <v>47.14</v>
      </c>
      <c r="F275" s="205"/>
      <c r="G275" s="205"/>
      <c r="H275" s="205"/>
      <c r="I275" s="205"/>
      <c r="J275"/>
      <c r="K275"/>
      <c r="L275" s="205"/>
      <c r="M275" s="205"/>
      <c r="N275" s="205"/>
      <c r="O275" s="191">
        <v>20.13</v>
      </c>
      <c r="P275" s="191">
        <v>14.95</v>
      </c>
      <c r="Q275" s="205" t="s">
        <v>834</v>
      </c>
      <c r="R275" s="205" t="s">
        <v>966</v>
      </c>
      <c r="S275" s="205">
        <v>792836.09230000002</v>
      </c>
      <c r="T275" s="205">
        <v>2187350.6090000002</v>
      </c>
      <c r="U275" s="205">
        <v>792880.61450000003</v>
      </c>
      <c r="V275" s="205">
        <v>2187335.111</v>
      </c>
      <c r="W275" s="205"/>
      <c r="X275" s="205"/>
      <c r="Y275" s="205"/>
      <c r="Z275" s="205"/>
      <c r="AA275" s="205"/>
      <c r="AB275" s="205" t="s">
        <v>836</v>
      </c>
      <c r="AC275" s="205" t="s">
        <v>834</v>
      </c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>
        <v>1</v>
      </c>
      <c r="B276" s="219">
        <v>0</v>
      </c>
      <c r="C276" s="205" t="s">
        <v>967</v>
      </c>
      <c r="D276" s="205" t="s">
        <v>968</v>
      </c>
      <c r="E276" s="191">
        <v>48.44</v>
      </c>
      <c r="F276" s="205"/>
      <c r="G276" s="205"/>
      <c r="H276" s="205"/>
      <c r="I276" s="205"/>
      <c r="J276"/>
      <c r="K276"/>
      <c r="L276" s="205"/>
      <c r="M276" s="205"/>
      <c r="N276" s="205"/>
      <c r="O276" s="191">
        <v>6.17</v>
      </c>
      <c r="P276" s="191">
        <v>4.8899999999999997</v>
      </c>
      <c r="Q276" s="205" t="s">
        <v>969</v>
      </c>
      <c r="R276" s="205" t="s">
        <v>970</v>
      </c>
      <c r="S276" s="205">
        <v>793118.82629999996</v>
      </c>
      <c r="T276" s="205">
        <v>2187403.6749999998</v>
      </c>
      <c r="U276" s="205">
        <v>793105.03529999999</v>
      </c>
      <c r="V276" s="205">
        <v>2187357.2429999998</v>
      </c>
      <c r="W276" s="205"/>
      <c r="X276" s="205"/>
      <c r="Y276" s="205"/>
      <c r="Z276" s="205"/>
      <c r="AA276" s="205"/>
      <c r="AB276" s="205" t="s">
        <v>968</v>
      </c>
      <c r="AC276" s="205" t="s">
        <v>969</v>
      </c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>
        <v>0</v>
      </c>
      <c r="B277" s="219">
        <v>0</v>
      </c>
      <c r="C277" s="205" t="s">
        <v>967</v>
      </c>
      <c r="D277" s="205" t="s">
        <v>969</v>
      </c>
      <c r="E277" s="191">
        <v>43.95</v>
      </c>
      <c r="F277" s="205" t="s">
        <v>968</v>
      </c>
      <c r="G277" s="205"/>
      <c r="H277" s="205"/>
      <c r="I277" s="205"/>
      <c r="J277"/>
      <c r="K277"/>
      <c r="L277" s="205"/>
      <c r="M277" s="205"/>
      <c r="N277" s="205"/>
      <c r="O277" s="191">
        <v>4.8899999999999997</v>
      </c>
      <c r="P277" s="191">
        <v>4.09</v>
      </c>
      <c r="Q277" s="205" t="s">
        <v>971</v>
      </c>
      <c r="R277" s="205" t="s">
        <v>972</v>
      </c>
      <c r="S277" s="205">
        <v>793105.03529999999</v>
      </c>
      <c r="T277" s="205">
        <v>2187357.2429999998</v>
      </c>
      <c r="U277" s="205">
        <v>793146.40839999996</v>
      </c>
      <c r="V277" s="205">
        <v>2187342.4279999998</v>
      </c>
      <c r="W277" s="205"/>
      <c r="X277" s="205"/>
      <c r="Y277" s="205"/>
      <c r="Z277" s="205"/>
      <c r="AA277" s="205"/>
      <c r="AB277" s="205" t="s">
        <v>969</v>
      </c>
      <c r="AC277" s="205" t="s">
        <v>971</v>
      </c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>
        <v>0</v>
      </c>
      <c r="B278" s="219">
        <v>0</v>
      </c>
      <c r="C278" s="205" t="s">
        <v>967</v>
      </c>
      <c r="D278" s="205" t="s">
        <v>971</v>
      </c>
      <c r="E278" s="191">
        <v>49.37</v>
      </c>
      <c r="F278" s="205" t="s">
        <v>969</v>
      </c>
      <c r="G278" s="205" t="s">
        <v>973</v>
      </c>
      <c r="H278" s="205"/>
      <c r="I278" s="205"/>
      <c r="J278"/>
      <c r="K278"/>
      <c r="L278" s="205"/>
      <c r="M278" s="205"/>
      <c r="N278" s="205"/>
      <c r="O278" s="191">
        <v>4.09</v>
      </c>
      <c r="P278" s="191">
        <v>3.09</v>
      </c>
      <c r="Q278" s="205" t="s">
        <v>586</v>
      </c>
      <c r="R278" s="205" t="s">
        <v>974</v>
      </c>
      <c r="S278" s="205">
        <v>793146.40839999996</v>
      </c>
      <c r="T278" s="205">
        <v>2187342.4279999998</v>
      </c>
      <c r="U278" s="205">
        <v>793193.74360000005</v>
      </c>
      <c r="V278" s="205">
        <v>2187328.3960000002</v>
      </c>
      <c r="W278" s="205"/>
      <c r="X278" s="205"/>
      <c r="Y278" s="205"/>
      <c r="Z278" s="205"/>
      <c r="AA278" s="205"/>
      <c r="AB278" s="205" t="s">
        <v>971</v>
      </c>
      <c r="AC278" s="205" t="s">
        <v>586</v>
      </c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>
        <v>0</v>
      </c>
      <c r="B279" s="219">
        <v>1</v>
      </c>
      <c r="C279" s="205" t="s">
        <v>967</v>
      </c>
      <c r="D279" s="205" t="s">
        <v>586</v>
      </c>
      <c r="E279" s="191">
        <v>46.97</v>
      </c>
      <c r="F279" s="205" t="s">
        <v>971</v>
      </c>
      <c r="G279" s="205"/>
      <c r="H279" s="205"/>
      <c r="I279" s="205"/>
      <c r="J279" s="205"/>
      <c r="K279" s="205"/>
      <c r="L279" s="205"/>
      <c r="M279" s="205"/>
      <c r="N279" s="205"/>
      <c r="O279" s="191">
        <v>3.09</v>
      </c>
      <c r="P279" s="191">
        <v>2.5299999999999998</v>
      </c>
      <c r="Q279" s="205" t="s">
        <v>584</v>
      </c>
      <c r="R279" s="205" t="s">
        <v>975</v>
      </c>
      <c r="S279" s="205">
        <v>793193.74360000005</v>
      </c>
      <c r="T279" s="205">
        <v>2187328.3960000002</v>
      </c>
      <c r="U279" s="205">
        <v>793238.73019999999</v>
      </c>
      <c r="V279" s="205">
        <v>2187314.906</v>
      </c>
      <c r="W279" s="205"/>
      <c r="X279" s="205"/>
      <c r="Y279" s="205"/>
      <c r="Z279" s="205"/>
      <c r="AA279" s="205"/>
      <c r="AB279" s="205" t="s">
        <v>586</v>
      </c>
      <c r="AC279" s="205" t="s">
        <v>584</v>
      </c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0"/>
      <c r="BK279" s="200"/>
      <c r="BL279" s="200"/>
      <c r="BM279" s="200"/>
      <c r="BN279" s="200"/>
      <c r="BO279" s="200"/>
      <c r="BP279" s="200"/>
      <c r="BQ279" s="200"/>
      <c r="BR279" s="200"/>
      <c r="BS279" s="200"/>
      <c r="BT279" s="200"/>
      <c r="BU279" s="200"/>
      <c r="BV279" s="200"/>
      <c r="BW279" s="200"/>
      <c r="BX279" s="200"/>
      <c r="BY279" s="200"/>
      <c r="BZ279" s="200"/>
      <c r="CA279" s="200"/>
      <c r="CB279" s="200"/>
      <c r="CC279" s="200"/>
      <c r="CD279" s="200"/>
      <c r="CE279" s="200"/>
      <c r="CF279" s="200"/>
      <c r="CG279" s="200"/>
      <c r="CH279" s="200"/>
      <c r="CI279" s="200"/>
      <c r="CJ279" s="200"/>
      <c r="CK279" s="200"/>
      <c r="CL279" s="200"/>
      <c r="CM279" s="200"/>
      <c r="CN279" s="200"/>
      <c r="CO279" s="200"/>
      <c r="CP279" s="200"/>
      <c r="CQ279" s="200"/>
      <c r="CR279" s="200"/>
      <c r="CS279" s="200"/>
      <c r="CT279" s="200"/>
      <c r="CU279" s="200"/>
      <c r="CV279" s="200"/>
    </row>
    <row r="280" spans="1:100" x14ac:dyDescent="0.2">
      <c r="A280" s="219">
        <v>1</v>
      </c>
      <c r="B280" s="219">
        <v>0</v>
      </c>
      <c r="C280" s="205" t="s">
        <v>976</v>
      </c>
      <c r="D280" s="205" t="s">
        <v>977</v>
      </c>
      <c r="E280" s="191">
        <v>41.08</v>
      </c>
      <c r="F280" s="205"/>
      <c r="G280" s="205"/>
      <c r="H280" s="205"/>
      <c r="I280" s="205"/>
      <c r="J280"/>
      <c r="K280"/>
      <c r="L280" s="205"/>
      <c r="M280" s="205"/>
      <c r="N280" s="205"/>
      <c r="O280" s="191">
        <v>7.67</v>
      </c>
      <c r="P280" s="191">
        <v>6.73</v>
      </c>
      <c r="Q280" s="205" t="s">
        <v>789</v>
      </c>
      <c r="R280" s="205" t="s">
        <v>978</v>
      </c>
      <c r="S280" s="205">
        <v>793061.68810000003</v>
      </c>
      <c r="T280" s="205">
        <v>2187419.4539999999</v>
      </c>
      <c r="U280" s="205">
        <v>793049.40460000001</v>
      </c>
      <c r="V280" s="205">
        <v>2187380.2570000002</v>
      </c>
      <c r="W280" s="205"/>
      <c r="X280" s="205"/>
      <c r="Y280" s="205"/>
      <c r="Z280" s="205"/>
      <c r="AA280" s="205"/>
      <c r="AB280" s="205" t="s">
        <v>977</v>
      </c>
      <c r="AC280" s="205" t="s">
        <v>789</v>
      </c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>
        <v>0</v>
      </c>
      <c r="B281" s="219">
        <v>1</v>
      </c>
      <c r="C281" s="205" t="s">
        <v>976</v>
      </c>
      <c r="D281" s="205" t="s">
        <v>789</v>
      </c>
      <c r="E281" s="191">
        <v>4.1900000000000004</v>
      </c>
      <c r="F281" s="205" t="s">
        <v>977</v>
      </c>
      <c r="G281" s="205"/>
      <c r="H281" s="205"/>
      <c r="I281" s="205"/>
      <c r="J281"/>
      <c r="K281"/>
      <c r="L281" s="205"/>
      <c r="M281" s="205"/>
      <c r="N281" s="205"/>
      <c r="O281" s="191">
        <v>6.73</v>
      </c>
      <c r="P281" s="191">
        <v>6.57</v>
      </c>
      <c r="Q281" s="205" t="s">
        <v>787</v>
      </c>
      <c r="R281" s="205" t="s">
        <v>979</v>
      </c>
      <c r="S281" s="205">
        <v>793049.40460000001</v>
      </c>
      <c r="T281" s="205">
        <v>2187380.2570000002</v>
      </c>
      <c r="U281" s="205">
        <v>793048.09450000001</v>
      </c>
      <c r="V281" s="205">
        <v>2187376.2740000002</v>
      </c>
      <c r="W281" s="205"/>
      <c r="X281" s="205"/>
      <c r="Y281" s="205"/>
      <c r="Z281" s="205"/>
      <c r="AA281" s="205"/>
      <c r="AB281" s="205" t="s">
        <v>789</v>
      </c>
      <c r="AC281" s="205" t="s">
        <v>787</v>
      </c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>
        <v>1</v>
      </c>
      <c r="B282" s="219">
        <v>0</v>
      </c>
      <c r="C282" s="205" t="s">
        <v>980</v>
      </c>
      <c r="D282" s="205" t="s">
        <v>981</v>
      </c>
      <c r="E282" s="191">
        <v>43.34</v>
      </c>
      <c r="F282" s="205"/>
      <c r="G282" s="205"/>
      <c r="H282" s="205"/>
      <c r="I282" s="205"/>
      <c r="J282"/>
      <c r="K282"/>
      <c r="L282" s="205"/>
      <c r="M282" s="205"/>
      <c r="N282" s="205"/>
      <c r="O282" s="191">
        <v>2.14</v>
      </c>
      <c r="P282" s="191">
        <v>2.2400000000000002</v>
      </c>
      <c r="Q282" s="205" t="s">
        <v>982</v>
      </c>
      <c r="R282" s="205" t="s">
        <v>983</v>
      </c>
      <c r="S282" s="205">
        <v>792996.84470000002</v>
      </c>
      <c r="T282" s="205">
        <v>2187043.2859999998</v>
      </c>
      <c r="U282" s="205">
        <v>793037.61569999997</v>
      </c>
      <c r="V282" s="205">
        <v>2187028.5920000002</v>
      </c>
      <c r="W282" s="205"/>
      <c r="X282" s="205"/>
      <c r="Y282" s="205"/>
      <c r="Z282" s="205"/>
      <c r="AA282" s="205"/>
      <c r="AB282" s="205" t="s">
        <v>981</v>
      </c>
      <c r="AC282" s="205" t="s">
        <v>982</v>
      </c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>
        <v>0</v>
      </c>
      <c r="B283" s="219">
        <v>0</v>
      </c>
      <c r="C283" s="205" t="s">
        <v>980</v>
      </c>
      <c r="D283" s="205" t="s">
        <v>982</v>
      </c>
      <c r="E283" s="191">
        <v>48.82</v>
      </c>
      <c r="F283" s="205" t="s">
        <v>981</v>
      </c>
      <c r="G283" s="205"/>
      <c r="H283" s="205"/>
      <c r="I283" s="205"/>
      <c r="J283"/>
      <c r="K283"/>
      <c r="L283" s="205"/>
      <c r="M283" s="205"/>
      <c r="N283" s="205"/>
      <c r="O283" s="191">
        <v>2.2400000000000002</v>
      </c>
      <c r="P283" s="191">
        <v>1.5</v>
      </c>
      <c r="Q283" s="205" t="s">
        <v>984</v>
      </c>
      <c r="R283" s="205" t="s">
        <v>985</v>
      </c>
      <c r="S283" s="205">
        <v>793037.61569999997</v>
      </c>
      <c r="T283" s="205">
        <v>2187028.5920000002</v>
      </c>
      <c r="U283" s="205">
        <v>793083.6862</v>
      </c>
      <c r="V283" s="205">
        <v>2187012.452</v>
      </c>
      <c r="W283" s="205"/>
      <c r="X283" s="205"/>
      <c r="Y283" s="205"/>
      <c r="Z283" s="205"/>
      <c r="AA283" s="205"/>
      <c r="AB283" s="205" t="s">
        <v>982</v>
      </c>
      <c r="AC283" s="205" t="s">
        <v>984</v>
      </c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>
        <v>0</v>
      </c>
      <c r="B284" s="219">
        <v>0</v>
      </c>
      <c r="C284" s="205" t="s">
        <v>980</v>
      </c>
      <c r="D284" s="205" t="s">
        <v>984</v>
      </c>
      <c r="E284" s="191">
        <v>46.12</v>
      </c>
      <c r="F284" s="205" t="s">
        <v>982</v>
      </c>
      <c r="G284" s="205" t="s">
        <v>986</v>
      </c>
      <c r="H284" s="205"/>
      <c r="I284" s="205"/>
      <c r="J284"/>
      <c r="K284"/>
      <c r="L284" s="205"/>
      <c r="M284" s="205"/>
      <c r="N284" s="205"/>
      <c r="O284" s="191">
        <v>1.5</v>
      </c>
      <c r="P284" s="191">
        <v>1.99</v>
      </c>
      <c r="Q284" s="205" t="s">
        <v>876</v>
      </c>
      <c r="R284" s="205" t="s">
        <v>987</v>
      </c>
      <c r="S284" s="205">
        <v>793083.6862</v>
      </c>
      <c r="T284" s="205">
        <v>2187012.452</v>
      </c>
      <c r="U284" s="205">
        <v>793127.76939999999</v>
      </c>
      <c r="V284" s="205">
        <v>2186998.9019999998</v>
      </c>
      <c r="W284" s="205"/>
      <c r="X284" s="205"/>
      <c r="Y284" s="205"/>
      <c r="Z284" s="205"/>
      <c r="AA284" s="205"/>
      <c r="AB284" s="205" t="s">
        <v>984</v>
      </c>
      <c r="AC284" s="205" t="s">
        <v>876</v>
      </c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>
        <v>0</v>
      </c>
      <c r="B285" s="219">
        <v>1</v>
      </c>
      <c r="C285" s="205" t="s">
        <v>980</v>
      </c>
      <c r="D285" s="205" t="s">
        <v>876</v>
      </c>
      <c r="E285" s="191">
        <v>40.909999999999997</v>
      </c>
      <c r="F285" s="205" t="s">
        <v>984</v>
      </c>
      <c r="G285" s="205"/>
      <c r="H285" s="205"/>
      <c r="I285" s="205"/>
      <c r="J285"/>
      <c r="K285"/>
      <c r="L285" s="205"/>
      <c r="M285" s="205"/>
      <c r="N285" s="205"/>
      <c r="O285" s="191">
        <v>1.99</v>
      </c>
      <c r="P285" s="191">
        <v>1</v>
      </c>
      <c r="Q285" s="205" t="s">
        <v>874</v>
      </c>
      <c r="R285" s="205" t="s">
        <v>988</v>
      </c>
      <c r="S285" s="205">
        <v>793127.76939999999</v>
      </c>
      <c r="T285" s="205">
        <v>2186998.9019999998</v>
      </c>
      <c r="U285" s="205">
        <v>793140.23560000001</v>
      </c>
      <c r="V285" s="205">
        <v>2187037.8659999999</v>
      </c>
      <c r="W285" s="205"/>
      <c r="X285" s="205"/>
      <c r="Y285" s="205"/>
      <c r="Z285" s="205"/>
      <c r="AA285" s="205"/>
      <c r="AB285" s="205" t="s">
        <v>876</v>
      </c>
      <c r="AC285" s="205" t="s">
        <v>874</v>
      </c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>
        <v>1</v>
      </c>
      <c r="B286" s="219">
        <v>0</v>
      </c>
      <c r="C286" s="205" t="s">
        <v>989</v>
      </c>
      <c r="D286" s="205" t="s">
        <v>990</v>
      </c>
      <c r="E286" s="191">
        <v>44.79</v>
      </c>
      <c r="F286" s="205"/>
      <c r="G286" s="205"/>
      <c r="H286" s="205"/>
      <c r="I286" s="205"/>
      <c r="J286"/>
      <c r="K286"/>
      <c r="L286" s="205"/>
      <c r="M286" s="205"/>
      <c r="N286" s="205"/>
      <c r="O286" s="191">
        <v>2.29</v>
      </c>
      <c r="P286" s="191">
        <v>2.23</v>
      </c>
      <c r="Q286" s="205" t="s">
        <v>991</v>
      </c>
      <c r="R286" s="205" t="s">
        <v>992</v>
      </c>
      <c r="S286" s="205">
        <v>792973.47820000001</v>
      </c>
      <c r="T286" s="205">
        <v>2186988.3629999999</v>
      </c>
      <c r="U286" s="205">
        <v>793015.93539999996</v>
      </c>
      <c r="V286" s="205">
        <v>2186974.09</v>
      </c>
      <c r="W286" s="205"/>
      <c r="X286" s="205"/>
      <c r="Y286" s="205"/>
      <c r="Z286" s="205"/>
      <c r="AA286" s="205"/>
      <c r="AB286" s="205" t="s">
        <v>990</v>
      </c>
      <c r="AC286" s="205" t="s">
        <v>991</v>
      </c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>
        <v>0</v>
      </c>
      <c r="B287" s="219">
        <v>0</v>
      </c>
      <c r="C287" s="205" t="s">
        <v>989</v>
      </c>
      <c r="D287" s="205" t="s">
        <v>991</v>
      </c>
      <c r="E287" s="191">
        <v>48.61</v>
      </c>
      <c r="F287" s="205" t="s">
        <v>990</v>
      </c>
      <c r="G287" s="205"/>
      <c r="H287" s="205"/>
      <c r="I287" s="205"/>
      <c r="J287"/>
      <c r="K287"/>
      <c r="L287" s="205"/>
      <c r="M287" s="205"/>
      <c r="N287" s="205"/>
      <c r="O287" s="191">
        <v>2.23</v>
      </c>
      <c r="P287" s="191">
        <v>1.68</v>
      </c>
      <c r="Q287" s="205" t="s">
        <v>986</v>
      </c>
      <c r="R287" s="205" t="s">
        <v>993</v>
      </c>
      <c r="S287" s="205">
        <v>793015.93539999996</v>
      </c>
      <c r="T287" s="205">
        <v>2186974.09</v>
      </c>
      <c r="U287" s="205">
        <v>793061.46400000004</v>
      </c>
      <c r="V287" s="205">
        <v>2186957.0469999998</v>
      </c>
      <c r="W287" s="205"/>
      <c r="X287" s="205"/>
      <c r="Y287" s="205"/>
      <c r="Z287" s="205"/>
      <c r="AA287" s="205"/>
      <c r="AB287" s="205" t="s">
        <v>991</v>
      </c>
      <c r="AC287" s="205" t="s">
        <v>986</v>
      </c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>
        <v>0</v>
      </c>
      <c r="B288" s="219">
        <v>1</v>
      </c>
      <c r="C288" s="205" t="s">
        <v>989</v>
      </c>
      <c r="D288" s="205" t="s">
        <v>986</v>
      </c>
      <c r="E288" s="191">
        <v>59.7</v>
      </c>
      <c r="F288" s="205" t="s">
        <v>991</v>
      </c>
      <c r="G288" s="205"/>
      <c r="H288" s="205"/>
      <c r="I288" s="205"/>
      <c r="J288"/>
      <c r="K288"/>
      <c r="L288" s="205"/>
      <c r="M288" s="205"/>
      <c r="N288" s="205"/>
      <c r="O288" s="191">
        <v>1.68</v>
      </c>
      <c r="P288" s="191">
        <v>1.5</v>
      </c>
      <c r="Q288" s="205" t="s">
        <v>984</v>
      </c>
      <c r="R288" s="205" t="s">
        <v>994</v>
      </c>
      <c r="S288" s="205">
        <v>793061.46400000004</v>
      </c>
      <c r="T288" s="205">
        <v>2186957.0469999998</v>
      </c>
      <c r="U288" s="205">
        <v>793083.6862</v>
      </c>
      <c r="V288" s="205">
        <v>2187012.452</v>
      </c>
      <c r="W288" s="205"/>
      <c r="X288" s="205"/>
      <c r="Y288" s="205"/>
      <c r="Z288" s="205"/>
      <c r="AA288" s="205"/>
      <c r="AB288" s="205" t="s">
        <v>986</v>
      </c>
      <c r="AC288" s="205" t="s">
        <v>984</v>
      </c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>
        <v>1</v>
      </c>
      <c r="B289" s="219">
        <v>1</v>
      </c>
      <c r="C289" s="205" t="s">
        <v>995</v>
      </c>
      <c r="D289" s="205" t="s">
        <v>716</v>
      </c>
      <c r="E289" s="191">
        <v>44.38</v>
      </c>
      <c r="F289" s="205"/>
      <c r="G289" s="205"/>
      <c r="H289" s="205"/>
      <c r="I289" s="205"/>
      <c r="J289"/>
      <c r="K289"/>
      <c r="L289" s="205"/>
      <c r="M289" s="205"/>
      <c r="N289" s="205"/>
      <c r="O289" s="191">
        <v>3</v>
      </c>
      <c r="P289" s="191">
        <v>2.5</v>
      </c>
      <c r="Q289" s="205" t="s">
        <v>714</v>
      </c>
      <c r="R289" s="205" t="s">
        <v>996</v>
      </c>
      <c r="S289" s="205">
        <v>793055.95360000001</v>
      </c>
      <c r="T289" s="205">
        <v>2187220.3259999999</v>
      </c>
      <c r="U289" s="205">
        <v>793097.68810000003</v>
      </c>
      <c r="V289" s="205">
        <v>2187205.2400000002</v>
      </c>
      <c r="W289" s="205"/>
      <c r="X289" s="205"/>
      <c r="Y289" s="205"/>
      <c r="Z289" s="205"/>
      <c r="AA289" s="205"/>
      <c r="AB289" s="205" t="s">
        <v>716</v>
      </c>
      <c r="AC289" s="205" t="s">
        <v>714</v>
      </c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>
        <v>1</v>
      </c>
      <c r="B290" s="219">
        <v>1</v>
      </c>
      <c r="C290" s="205" t="s">
        <v>997</v>
      </c>
      <c r="D290" s="205" t="s">
        <v>808</v>
      </c>
      <c r="E290" s="191">
        <v>46.06</v>
      </c>
      <c r="F290" s="205"/>
      <c r="G290" s="205"/>
      <c r="H290" s="205"/>
      <c r="I290" s="205"/>
      <c r="J290"/>
      <c r="K290"/>
      <c r="L290" s="205"/>
      <c r="M290" s="205"/>
      <c r="N290" s="205"/>
      <c r="O290" s="191">
        <v>5.57</v>
      </c>
      <c r="P290" s="191">
        <v>4.24</v>
      </c>
      <c r="Q290" s="205" t="s">
        <v>806</v>
      </c>
      <c r="R290" s="205" t="s">
        <v>998</v>
      </c>
      <c r="S290" s="205">
        <v>792946.79949999996</v>
      </c>
      <c r="T290" s="205">
        <v>2187214.9210000001</v>
      </c>
      <c r="U290" s="205">
        <v>792989.31689999998</v>
      </c>
      <c r="V290" s="205">
        <v>2187197.216</v>
      </c>
      <c r="W290" s="205"/>
      <c r="X290" s="205"/>
      <c r="Y290" s="205"/>
      <c r="Z290" s="205"/>
      <c r="AA290" s="205"/>
      <c r="AB290" s="205" t="s">
        <v>808</v>
      </c>
      <c r="AC290" s="205" t="s">
        <v>806</v>
      </c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>
        <v>1</v>
      </c>
      <c r="B291" s="219">
        <v>1</v>
      </c>
      <c r="C291" s="205" t="s">
        <v>999</v>
      </c>
      <c r="D291" s="205" t="s">
        <v>973</v>
      </c>
      <c r="E291" s="191">
        <v>50.23</v>
      </c>
      <c r="F291" s="205"/>
      <c r="G291" s="205"/>
      <c r="H291" s="205"/>
      <c r="I291" s="205"/>
      <c r="J291"/>
      <c r="K291"/>
      <c r="L291" s="205"/>
      <c r="M291" s="205"/>
      <c r="N291" s="205"/>
      <c r="O291" s="191">
        <v>4.99</v>
      </c>
      <c r="P291" s="191">
        <v>4.09</v>
      </c>
      <c r="Q291" s="205" t="s">
        <v>971</v>
      </c>
      <c r="R291" s="205" t="s">
        <v>1000</v>
      </c>
      <c r="S291" s="205">
        <v>793161.22320000001</v>
      </c>
      <c r="T291" s="205">
        <v>2187390.426</v>
      </c>
      <c r="U291" s="205">
        <v>793146.40839999996</v>
      </c>
      <c r="V291" s="205">
        <v>2187342.4279999998</v>
      </c>
      <c r="W291" s="205"/>
      <c r="X291" s="205"/>
      <c r="Y291" s="205"/>
      <c r="Z291" s="205"/>
      <c r="AA291" s="205"/>
      <c r="AB291" s="205" t="s">
        <v>973</v>
      </c>
      <c r="AC291" s="205" t="s">
        <v>971</v>
      </c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>
        <v>1</v>
      </c>
      <c r="B292" s="219">
        <v>0</v>
      </c>
      <c r="C292" s="205" t="s">
        <v>1001</v>
      </c>
      <c r="D292" s="205" t="s">
        <v>1002</v>
      </c>
      <c r="E292" s="191">
        <v>48.5</v>
      </c>
      <c r="F292" s="205"/>
      <c r="G292" s="205"/>
      <c r="H292" s="205"/>
      <c r="I292" s="205"/>
      <c r="J292"/>
      <c r="K292"/>
      <c r="L292" s="205"/>
      <c r="M292" s="205"/>
      <c r="N292" s="205"/>
      <c r="O292" s="191">
        <v>3</v>
      </c>
      <c r="P292" s="191">
        <v>2.2799999999999998</v>
      </c>
      <c r="Q292" s="205" t="s">
        <v>737</v>
      </c>
      <c r="R292" s="205" t="s">
        <v>1003</v>
      </c>
      <c r="S292" s="205">
        <v>792928.02599999995</v>
      </c>
      <c r="T292" s="205">
        <v>2186721.9389999998</v>
      </c>
      <c r="U292" s="205">
        <v>792972.84649999999</v>
      </c>
      <c r="V292" s="205">
        <v>2186703.4180000001</v>
      </c>
      <c r="W292" s="205"/>
      <c r="X292" s="205"/>
      <c r="Y292" s="205"/>
      <c r="Z292" s="205"/>
      <c r="AA292" s="205"/>
      <c r="AB292" s="205" t="s">
        <v>1002</v>
      </c>
      <c r="AC292" s="205" t="s">
        <v>737</v>
      </c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>
        <v>0</v>
      </c>
      <c r="B293" s="219">
        <v>1</v>
      </c>
      <c r="C293" s="205" t="s">
        <v>1001</v>
      </c>
      <c r="D293" s="205" t="s">
        <v>737</v>
      </c>
      <c r="E293" s="191">
        <v>51.16</v>
      </c>
      <c r="F293" s="205" t="s">
        <v>1002</v>
      </c>
      <c r="G293" s="205"/>
      <c r="H293" s="205"/>
      <c r="I293" s="205"/>
      <c r="J293"/>
      <c r="K293"/>
      <c r="L293" s="205"/>
      <c r="M293" s="205"/>
      <c r="N293" s="205"/>
      <c r="O293" s="191">
        <v>2.2799999999999998</v>
      </c>
      <c r="P293" s="191">
        <v>2</v>
      </c>
      <c r="Q293" s="205" t="s">
        <v>735</v>
      </c>
      <c r="R293" s="205" t="s">
        <v>1004</v>
      </c>
      <c r="S293" s="205">
        <v>792972.84649999999</v>
      </c>
      <c r="T293" s="205">
        <v>2186703.4180000001</v>
      </c>
      <c r="U293" s="205">
        <v>792992.50870000001</v>
      </c>
      <c r="V293" s="205">
        <v>2186750.648</v>
      </c>
      <c r="W293" s="205"/>
      <c r="X293" s="205"/>
      <c r="Y293" s="205"/>
      <c r="Z293" s="205"/>
      <c r="AA293" s="205"/>
      <c r="AB293" s="205" t="s">
        <v>737</v>
      </c>
      <c r="AC293" s="205" t="s">
        <v>735</v>
      </c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>
        <v>1</v>
      </c>
      <c r="B294" s="219">
        <v>0</v>
      </c>
      <c r="C294" s="205" t="s">
        <v>1005</v>
      </c>
      <c r="D294" s="205" t="s">
        <v>1006</v>
      </c>
      <c r="E294" s="191">
        <v>33.770000000000003</v>
      </c>
      <c r="F294" s="205"/>
      <c r="G294" s="205"/>
      <c r="H294" s="205"/>
      <c r="I294" s="205" t="s">
        <v>1007</v>
      </c>
      <c r="J294">
        <v>16815</v>
      </c>
      <c r="K294">
        <v>2121</v>
      </c>
      <c r="L294" s="205"/>
      <c r="M294" s="205"/>
      <c r="N294" s="205"/>
      <c r="O294" s="191">
        <v>1.5</v>
      </c>
      <c r="P294" s="191">
        <v>1.45</v>
      </c>
      <c r="Q294" s="205" t="s">
        <v>1008</v>
      </c>
      <c r="R294" s="205" t="s">
        <v>1009</v>
      </c>
      <c r="S294" s="205">
        <v>793671.44279999996</v>
      </c>
      <c r="T294" s="205">
        <v>2187304.7949999999</v>
      </c>
      <c r="U294" s="205">
        <v>793648.90500000003</v>
      </c>
      <c r="V294" s="205">
        <v>2187279.6439999999</v>
      </c>
      <c r="W294" s="205"/>
      <c r="X294" s="205"/>
      <c r="Y294" s="205"/>
      <c r="Z294" s="205"/>
      <c r="AA294" s="205"/>
      <c r="AB294" s="205" t="s">
        <v>1006</v>
      </c>
      <c r="AC294" s="205" t="s">
        <v>1008</v>
      </c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>
        <v>0</v>
      </c>
      <c r="B295" s="219">
        <v>0</v>
      </c>
      <c r="C295" s="205" t="s">
        <v>1005</v>
      </c>
      <c r="D295" s="205" t="s">
        <v>1008</v>
      </c>
      <c r="E295" s="191">
        <v>53.44</v>
      </c>
      <c r="F295" s="205" t="s">
        <v>1006</v>
      </c>
      <c r="G295" s="205"/>
      <c r="H295" s="205"/>
      <c r="I295" s="205"/>
      <c r="J295"/>
      <c r="K295"/>
      <c r="L295" s="205"/>
      <c r="M295" s="205"/>
      <c r="N295" s="205"/>
      <c r="O295" s="191">
        <v>1.45</v>
      </c>
      <c r="P295" s="191">
        <v>0.93</v>
      </c>
      <c r="Q295" s="205" t="s">
        <v>1010</v>
      </c>
      <c r="R295" s="205" t="s">
        <v>1011</v>
      </c>
      <c r="S295" s="205">
        <v>793648.90500000003</v>
      </c>
      <c r="T295" s="205">
        <v>2187279.6439999999</v>
      </c>
      <c r="U295" s="205">
        <v>793606.11580000003</v>
      </c>
      <c r="V295" s="205">
        <v>2187247.6340000001</v>
      </c>
      <c r="W295" s="205"/>
      <c r="X295" s="205"/>
      <c r="Y295" s="205"/>
      <c r="Z295" s="205"/>
      <c r="AA295" s="205"/>
      <c r="AB295" s="205" t="s">
        <v>1008</v>
      </c>
      <c r="AC295" s="205" t="s">
        <v>1010</v>
      </c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>
        <v>0</v>
      </c>
      <c r="B296" s="219">
        <v>0</v>
      </c>
      <c r="C296" s="205" t="s">
        <v>1005</v>
      </c>
      <c r="D296" s="205" t="s">
        <v>1010</v>
      </c>
      <c r="E296" s="191">
        <v>15.42</v>
      </c>
      <c r="F296" s="205" t="s">
        <v>1008</v>
      </c>
      <c r="G296" s="205"/>
      <c r="H296" s="205"/>
      <c r="I296" s="205"/>
      <c r="J296"/>
      <c r="K296"/>
      <c r="L296" s="205"/>
      <c r="M296" s="205"/>
      <c r="N296" s="205"/>
      <c r="O296" s="191">
        <v>0.93</v>
      </c>
      <c r="P296" s="191">
        <v>1.1499999999999999</v>
      </c>
      <c r="Q296" s="205" t="s">
        <v>1012</v>
      </c>
      <c r="R296" s="205" t="s">
        <v>1013</v>
      </c>
      <c r="S296" s="205">
        <v>793606.11580000003</v>
      </c>
      <c r="T296" s="205">
        <v>2187247.6340000001</v>
      </c>
      <c r="U296" s="205">
        <v>793596.97010000004</v>
      </c>
      <c r="V296" s="205">
        <v>2187235.2220000001</v>
      </c>
      <c r="W296" s="205"/>
      <c r="X296" s="205"/>
      <c r="Y296" s="205"/>
      <c r="Z296" s="205"/>
      <c r="AA296" s="205"/>
      <c r="AB296" s="205" t="s">
        <v>1010</v>
      </c>
      <c r="AC296" s="205" t="s">
        <v>1012</v>
      </c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>
        <v>0</v>
      </c>
      <c r="B297" s="219">
        <v>0</v>
      </c>
      <c r="C297" s="205" t="s">
        <v>1005</v>
      </c>
      <c r="D297" s="205" t="s">
        <v>1012</v>
      </c>
      <c r="E297" s="191">
        <v>56.62</v>
      </c>
      <c r="F297" s="205" t="s">
        <v>1010</v>
      </c>
      <c r="G297" s="205"/>
      <c r="H297" s="205"/>
      <c r="I297" s="205"/>
      <c r="J297"/>
      <c r="K297"/>
      <c r="L297" s="205"/>
      <c r="M297" s="205"/>
      <c r="N297" s="205"/>
      <c r="O297" s="191">
        <v>1.1499999999999999</v>
      </c>
      <c r="P297" s="191">
        <v>1.01</v>
      </c>
      <c r="Q297" s="205" t="s">
        <v>1014</v>
      </c>
      <c r="R297" s="205" t="s">
        <v>1015</v>
      </c>
      <c r="S297" s="205">
        <v>793596.97010000004</v>
      </c>
      <c r="T297" s="205">
        <v>2187235.2220000001</v>
      </c>
      <c r="U297" s="205">
        <v>793565.93969999999</v>
      </c>
      <c r="V297" s="205">
        <v>2187187.86</v>
      </c>
      <c r="W297" s="205"/>
      <c r="X297" s="205"/>
      <c r="Y297" s="205"/>
      <c r="Z297" s="205"/>
      <c r="AA297" s="205"/>
      <c r="AB297" s="205" t="s">
        <v>1012</v>
      </c>
      <c r="AC297" s="205" t="s">
        <v>1014</v>
      </c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>
        <v>0</v>
      </c>
      <c r="B298" s="219">
        <v>0</v>
      </c>
      <c r="C298" s="205" t="s">
        <v>1005</v>
      </c>
      <c r="D298" s="205" t="s">
        <v>1014</v>
      </c>
      <c r="E298" s="191">
        <v>73.97</v>
      </c>
      <c r="F298" s="205" t="s">
        <v>1012</v>
      </c>
      <c r="G298" s="205"/>
      <c r="H298" s="205"/>
      <c r="I298" s="205"/>
      <c r="J298"/>
      <c r="K298"/>
      <c r="L298" s="205"/>
      <c r="M298" s="205"/>
      <c r="N298" s="205"/>
      <c r="O298" s="191">
        <v>1.01</v>
      </c>
      <c r="P298" s="191">
        <v>1.5</v>
      </c>
      <c r="Q298" s="205" t="s">
        <v>1016</v>
      </c>
      <c r="R298" s="205" t="s">
        <v>1017</v>
      </c>
      <c r="S298" s="205">
        <v>793565.93969999999</v>
      </c>
      <c r="T298" s="205">
        <v>2187187.86</v>
      </c>
      <c r="U298" s="205">
        <v>793525.43700000003</v>
      </c>
      <c r="V298" s="205">
        <v>2187125.9619999998</v>
      </c>
      <c r="W298" s="205"/>
      <c r="X298" s="205"/>
      <c r="Y298" s="205"/>
      <c r="Z298" s="205"/>
      <c r="AA298" s="205"/>
      <c r="AB298" s="205" t="s">
        <v>1014</v>
      </c>
      <c r="AC298" s="205" t="s">
        <v>1016</v>
      </c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>
        <v>0</v>
      </c>
      <c r="B299" s="219">
        <v>0</v>
      </c>
      <c r="C299" s="205" t="s">
        <v>1005</v>
      </c>
      <c r="D299" s="205" t="s">
        <v>1016</v>
      </c>
      <c r="E299" s="191">
        <v>63.06</v>
      </c>
      <c r="F299" s="205" t="s">
        <v>1014</v>
      </c>
      <c r="G299" s="205"/>
      <c r="H299" s="205"/>
      <c r="I299" s="205"/>
      <c r="J299"/>
      <c r="K299"/>
      <c r="L299" s="205"/>
      <c r="M299" s="205"/>
      <c r="N299" s="205"/>
      <c r="O299" s="191">
        <v>1.5</v>
      </c>
      <c r="P299" s="191">
        <v>1.18</v>
      </c>
      <c r="Q299" s="205" t="s">
        <v>616</v>
      </c>
      <c r="R299" s="205" t="s">
        <v>1018</v>
      </c>
      <c r="S299" s="205">
        <v>793525.43700000003</v>
      </c>
      <c r="T299" s="205">
        <v>2187125.9619999998</v>
      </c>
      <c r="U299" s="205">
        <v>793491.14040000003</v>
      </c>
      <c r="V299" s="205">
        <v>2187073.048</v>
      </c>
      <c r="W299" s="205"/>
      <c r="X299" s="205"/>
      <c r="Y299" s="205"/>
      <c r="Z299" s="205"/>
      <c r="AA299" s="205"/>
      <c r="AB299" s="205" t="s">
        <v>1016</v>
      </c>
      <c r="AC299" s="205" t="s">
        <v>616</v>
      </c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>
        <v>0</v>
      </c>
      <c r="B300" s="219">
        <v>1</v>
      </c>
      <c r="C300" s="205" t="s">
        <v>1005</v>
      </c>
      <c r="D300" s="205" t="s">
        <v>616</v>
      </c>
      <c r="E300" s="191">
        <v>53.29</v>
      </c>
      <c r="F300" s="205" t="s">
        <v>1016</v>
      </c>
      <c r="G300" s="205"/>
      <c r="H300" s="205"/>
      <c r="I300" s="205"/>
      <c r="J300"/>
      <c r="K300"/>
      <c r="L300" s="205"/>
      <c r="M300" s="205"/>
      <c r="N300" s="205"/>
      <c r="O300" s="191">
        <v>1.18</v>
      </c>
      <c r="P300" s="191">
        <v>1.0900000000000001</v>
      </c>
      <c r="Q300" s="205" t="s">
        <v>613</v>
      </c>
      <c r="R300" s="205" t="s">
        <v>1019</v>
      </c>
      <c r="S300" s="205">
        <v>793491.14040000003</v>
      </c>
      <c r="T300" s="205">
        <v>2187073.048</v>
      </c>
      <c r="U300" s="205">
        <v>793463.05130000005</v>
      </c>
      <c r="V300" s="205">
        <v>2187027.7629999998</v>
      </c>
      <c r="W300" s="205"/>
      <c r="X300" s="205"/>
      <c r="Y300" s="205"/>
      <c r="Z300" s="205"/>
      <c r="AA300" s="205"/>
      <c r="AB300" s="205" t="s">
        <v>616</v>
      </c>
      <c r="AC300" s="205" t="s">
        <v>613</v>
      </c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>
        <v>1</v>
      </c>
      <c r="B301" s="219">
        <v>1</v>
      </c>
      <c r="C301" s="205" t="s">
        <v>1020</v>
      </c>
      <c r="D301" s="205" t="s">
        <v>583</v>
      </c>
      <c r="E301" s="191">
        <v>44.12</v>
      </c>
      <c r="F301" s="205"/>
      <c r="G301" s="205"/>
      <c r="H301" s="205"/>
      <c r="I301" s="205"/>
      <c r="J301"/>
      <c r="K301"/>
      <c r="L301" s="205"/>
      <c r="M301" s="205"/>
      <c r="N301" s="205"/>
      <c r="O301" s="191">
        <v>4.32</v>
      </c>
      <c r="P301" s="191">
        <v>3.37</v>
      </c>
      <c r="Q301" s="205" t="s">
        <v>581</v>
      </c>
      <c r="R301" s="205" t="s">
        <v>1021</v>
      </c>
      <c r="S301" s="205">
        <v>793211.75029999996</v>
      </c>
      <c r="T301" s="205">
        <v>2187374.1660000002</v>
      </c>
      <c r="U301" s="205">
        <v>793253.06319999998</v>
      </c>
      <c r="V301" s="205">
        <v>2187358.6880000001</v>
      </c>
      <c r="W301" s="205"/>
      <c r="X301" s="205"/>
      <c r="Y301" s="205"/>
      <c r="Z301" s="205"/>
      <c r="AA301" s="205"/>
      <c r="AB301" s="205" t="s">
        <v>583</v>
      </c>
      <c r="AC301" s="205" t="s">
        <v>581</v>
      </c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>
        <v>1</v>
      </c>
      <c r="B302" s="219">
        <v>0</v>
      </c>
      <c r="C302" s="205" t="s">
        <v>1022</v>
      </c>
      <c r="D302" s="205" t="s">
        <v>1023</v>
      </c>
      <c r="E302" s="191">
        <v>45.93</v>
      </c>
      <c r="F302" s="205"/>
      <c r="G302" s="205"/>
      <c r="H302" s="205"/>
      <c r="I302" s="205"/>
      <c r="J302"/>
      <c r="K302"/>
      <c r="L302" s="205"/>
      <c r="M302" s="205"/>
      <c r="N302" s="205"/>
      <c r="O302" s="191">
        <v>2.73</v>
      </c>
      <c r="P302" s="191">
        <v>2.3199999999999998</v>
      </c>
      <c r="Q302" s="205" t="s">
        <v>1024</v>
      </c>
      <c r="R302" s="205" t="s">
        <v>1025</v>
      </c>
      <c r="S302" s="205">
        <v>793291.36499999999</v>
      </c>
      <c r="T302" s="205">
        <v>2187347.0649999999</v>
      </c>
      <c r="U302" s="205">
        <v>793334.36419999995</v>
      </c>
      <c r="V302" s="205">
        <v>2187330.926</v>
      </c>
      <c r="W302" s="205"/>
      <c r="X302" s="205"/>
      <c r="Y302" s="205"/>
      <c r="Z302" s="205"/>
      <c r="AA302" s="205"/>
      <c r="AB302" s="205" t="s">
        <v>1023</v>
      </c>
      <c r="AC302" s="205" t="s">
        <v>1024</v>
      </c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>
        <v>0</v>
      </c>
      <c r="B303" s="219">
        <v>0</v>
      </c>
      <c r="C303" s="205" t="s">
        <v>1022</v>
      </c>
      <c r="D303" s="205" t="s">
        <v>1024</v>
      </c>
      <c r="E303" s="191">
        <v>46.04</v>
      </c>
      <c r="F303" s="205" t="s">
        <v>1023</v>
      </c>
      <c r="G303" s="205"/>
      <c r="H303" s="205"/>
      <c r="I303" s="205"/>
      <c r="J303"/>
      <c r="K303"/>
      <c r="L303" s="205"/>
      <c r="M303" s="205"/>
      <c r="N303" s="205"/>
      <c r="O303" s="191">
        <v>2.3199999999999998</v>
      </c>
      <c r="P303" s="191">
        <v>1.92</v>
      </c>
      <c r="Q303" s="205" t="s">
        <v>639</v>
      </c>
      <c r="R303" s="205" t="s">
        <v>1026</v>
      </c>
      <c r="S303" s="205">
        <v>793334.36419999995</v>
      </c>
      <c r="T303" s="205">
        <v>2187330.926</v>
      </c>
      <c r="U303" s="205">
        <v>793377.66449999996</v>
      </c>
      <c r="V303" s="205">
        <v>2187315.2680000002</v>
      </c>
      <c r="W303" s="205"/>
      <c r="X303" s="205"/>
      <c r="Y303" s="205"/>
      <c r="Z303" s="205"/>
      <c r="AA303" s="205"/>
      <c r="AB303" s="205" t="s">
        <v>1024</v>
      </c>
      <c r="AC303" s="205" t="s">
        <v>639</v>
      </c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>
        <v>0</v>
      </c>
      <c r="B304" s="219">
        <v>0</v>
      </c>
      <c r="C304" s="205" t="s">
        <v>1022</v>
      </c>
      <c r="D304" s="205" t="s">
        <v>639</v>
      </c>
      <c r="E304" s="191">
        <v>49.15</v>
      </c>
      <c r="F304" s="205" t="s">
        <v>1024</v>
      </c>
      <c r="G304" s="205" t="s">
        <v>636</v>
      </c>
      <c r="H304" s="205"/>
      <c r="I304" s="205"/>
      <c r="J304"/>
      <c r="K304"/>
      <c r="L304" s="205"/>
      <c r="M304" s="205"/>
      <c r="N304" s="205"/>
      <c r="O304" s="191">
        <v>1.92</v>
      </c>
      <c r="P304" s="191">
        <v>1.82</v>
      </c>
      <c r="Q304" s="205" t="s">
        <v>1027</v>
      </c>
      <c r="R304" s="205" t="s">
        <v>1028</v>
      </c>
      <c r="S304" s="205">
        <v>793377.66449999996</v>
      </c>
      <c r="T304" s="205">
        <v>2187315.2680000002</v>
      </c>
      <c r="U304" s="205">
        <v>793361.04299999995</v>
      </c>
      <c r="V304" s="205">
        <v>2187269.017</v>
      </c>
      <c r="W304" s="205"/>
      <c r="X304" s="205"/>
      <c r="Y304" s="205"/>
      <c r="Z304" s="205"/>
      <c r="AA304" s="205"/>
      <c r="AB304" s="205" t="s">
        <v>639</v>
      </c>
      <c r="AC304" s="205" t="s">
        <v>1027</v>
      </c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>
        <v>0</v>
      </c>
      <c r="B305" s="219">
        <v>0</v>
      </c>
      <c r="C305" s="205" t="s">
        <v>1022</v>
      </c>
      <c r="D305" s="205" t="s">
        <v>1027</v>
      </c>
      <c r="E305" s="191">
        <v>45.43</v>
      </c>
      <c r="F305" s="205" t="s">
        <v>639</v>
      </c>
      <c r="G305" s="205"/>
      <c r="H305" s="205"/>
      <c r="I305" s="205"/>
      <c r="J305"/>
      <c r="K305"/>
      <c r="L305" s="205"/>
      <c r="M305" s="205"/>
      <c r="N305" s="205"/>
      <c r="O305" s="191">
        <v>1.82</v>
      </c>
      <c r="P305" s="191">
        <v>1.04</v>
      </c>
      <c r="Q305" s="205" t="s">
        <v>632</v>
      </c>
      <c r="R305" s="205" t="s">
        <v>1029</v>
      </c>
      <c r="S305" s="205">
        <v>793361.04299999995</v>
      </c>
      <c r="T305" s="205">
        <v>2187269.017</v>
      </c>
      <c r="U305" s="205">
        <v>793344.72250000003</v>
      </c>
      <c r="V305" s="205">
        <v>2187226.62</v>
      </c>
      <c r="W305" s="205"/>
      <c r="X305" s="205"/>
      <c r="Y305" s="205"/>
      <c r="Z305" s="205"/>
      <c r="AA305" s="205"/>
      <c r="AB305" s="205" t="s">
        <v>1027</v>
      </c>
      <c r="AC305" s="205" t="s">
        <v>632</v>
      </c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>
        <v>0</v>
      </c>
      <c r="B306" s="219">
        <v>0</v>
      </c>
      <c r="C306" s="205" t="s">
        <v>1022</v>
      </c>
      <c r="D306" s="205" t="s">
        <v>632</v>
      </c>
      <c r="E306" s="191">
        <v>49.74</v>
      </c>
      <c r="F306" s="205" t="s">
        <v>1027</v>
      </c>
      <c r="G306" s="205" t="s">
        <v>629</v>
      </c>
      <c r="H306" s="205"/>
      <c r="I306" s="205"/>
      <c r="J306"/>
      <c r="K306"/>
      <c r="L306" s="205"/>
      <c r="M306" s="205"/>
      <c r="N306" s="205"/>
      <c r="O306" s="191">
        <v>1.04</v>
      </c>
      <c r="P306" s="191">
        <v>1.21</v>
      </c>
      <c r="Q306" s="205" t="s">
        <v>625</v>
      </c>
      <c r="R306" s="205" t="s">
        <v>1030</v>
      </c>
      <c r="S306" s="205">
        <v>793344.72250000003</v>
      </c>
      <c r="T306" s="205">
        <v>2187226.62</v>
      </c>
      <c r="U306" s="205">
        <v>793328.22840000002</v>
      </c>
      <c r="V306" s="205">
        <v>2187179.6970000002</v>
      </c>
      <c r="W306" s="205"/>
      <c r="X306" s="205"/>
      <c r="Y306" s="205"/>
      <c r="Z306" s="205"/>
      <c r="AA306" s="205"/>
      <c r="AB306" s="205" t="s">
        <v>632</v>
      </c>
      <c r="AC306" s="205" t="s">
        <v>625</v>
      </c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>
        <v>0</v>
      </c>
      <c r="B307" s="219">
        <v>0</v>
      </c>
      <c r="C307" s="205" t="s">
        <v>1022</v>
      </c>
      <c r="D307" s="205" t="s">
        <v>625</v>
      </c>
      <c r="E307" s="191">
        <v>41.87</v>
      </c>
      <c r="F307" s="205" t="s">
        <v>632</v>
      </c>
      <c r="G307" s="205" t="s">
        <v>623</v>
      </c>
      <c r="H307" s="205"/>
      <c r="I307" s="205"/>
      <c r="J307"/>
      <c r="K307"/>
      <c r="L307" s="205"/>
      <c r="M307" s="205"/>
      <c r="N307" s="205"/>
      <c r="O307" s="191">
        <v>1.21</v>
      </c>
      <c r="P307" s="191">
        <v>1.02</v>
      </c>
      <c r="Q307" s="205" t="s">
        <v>1031</v>
      </c>
      <c r="R307" s="205" t="s">
        <v>1032</v>
      </c>
      <c r="S307" s="205">
        <v>793328.22840000002</v>
      </c>
      <c r="T307" s="205">
        <v>2187179.6970000002</v>
      </c>
      <c r="U307" s="205">
        <v>793367.36640000006</v>
      </c>
      <c r="V307" s="205">
        <v>2187164.8309999998</v>
      </c>
      <c r="W307" s="205"/>
      <c r="X307" s="205"/>
      <c r="Y307" s="205"/>
      <c r="Z307" s="205"/>
      <c r="AA307" s="205"/>
      <c r="AB307" s="205" t="s">
        <v>625</v>
      </c>
      <c r="AC307" s="205" t="s">
        <v>1031</v>
      </c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>
        <v>0</v>
      </c>
      <c r="B308" s="219">
        <v>0</v>
      </c>
      <c r="C308" s="205" t="s">
        <v>1022</v>
      </c>
      <c r="D308" s="205" t="s">
        <v>1031</v>
      </c>
      <c r="E308" s="191">
        <v>22.57</v>
      </c>
      <c r="F308" s="205" t="s">
        <v>625</v>
      </c>
      <c r="G308" s="205"/>
      <c r="H308" s="205"/>
      <c r="I308" s="205"/>
      <c r="J308" s="205"/>
      <c r="K308" s="205"/>
      <c r="L308" s="205"/>
      <c r="M308" s="205"/>
      <c r="N308" s="205"/>
      <c r="O308" s="191">
        <v>1.02</v>
      </c>
      <c r="P308" s="191">
        <v>1</v>
      </c>
      <c r="Q308" s="205" t="s">
        <v>1033</v>
      </c>
      <c r="R308" s="205" t="s">
        <v>1034</v>
      </c>
      <c r="S308" s="205">
        <v>793367.36640000006</v>
      </c>
      <c r="T308" s="205">
        <v>2187164.8309999998</v>
      </c>
      <c r="U308" s="205">
        <v>793388.92619999999</v>
      </c>
      <c r="V308" s="205">
        <v>2187158.1460000002</v>
      </c>
      <c r="W308" s="205"/>
      <c r="X308" s="205"/>
      <c r="Y308" s="205"/>
      <c r="Z308" s="205"/>
      <c r="AA308" s="205"/>
      <c r="AB308" s="205" t="s">
        <v>1031</v>
      </c>
      <c r="AC308" s="205" t="s">
        <v>1033</v>
      </c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0"/>
      <c r="BJ308" s="200"/>
      <c r="BK308" s="200"/>
      <c r="BL308" s="200"/>
      <c r="BM308" s="200"/>
      <c r="BN308" s="200"/>
      <c r="BO308" s="200"/>
      <c r="BP308" s="200"/>
      <c r="BQ308" s="200"/>
      <c r="BR308" s="200"/>
      <c r="BS308" s="200"/>
      <c r="BT308" s="200"/>
      <c r="BU308" s="200"/>
      <c r="BV308" s="200"/>
      <c r="BW308" s="200"/>
      <c r="BX308" s="200"/>
      <c r="BY308" s="200"/>
      <c r="BZ308" s="200"/>
      <c r="CA308" s="200"/>
      <c r="CB308" s="200"/>
      <c r="CC308" s="200"/>
      <c r="CD308" s="200"/>
      <c r="CE308" s="200"/>
      <c r="CF308" s="200"/>
      <c r="CG308" s="200"/>
      <c r="CH308" s="200"/>
      <c r="CI308" s="200"/>
      <c r="CJ308" s="200"/>
      <c r="CK308" s="200"/>
      <c r="CL308" s="200"/>
      <c r="CM308" s="200"/>
      <c r="CN308" s="200"/>
      <c r="CO308" s="200"/>
      <c r="CP308" s="200"/>
      <c r="CQ308" s="200"/>
      <c r="CR308" s="200"/>
      <c r="CS308" s="200"/>
      <c r="CT308" s="200"/>
      <c r="CU308" s="200"/>
      <c r="CV308" s="200"/>
    </row>
    <row r="309" spans="1:100" x14ac:dyDescent="0.2">
      <c r="A309" s="219">
        <v>0</v>
      </c>
      <c r="B309" s="219">
        <v>0</v>
      </c>
      <c r="C309" s="205" t="s">
        <v>1022</v>
      </c>
      <c r="D309" s="205" t="s">
        <v>1033</v>
      </c>
      <c r="E309" s="191">
        <v>25.79</v>
      </c>
      <c r="F309" s="205" t="s">
        <v>1031</v>
      </c>
      <c r="G309" s="205"/>
      <c r="H309" s="205"/>
      <c r="I309" s="205"/>
      <c r="J309"/>
      <c r="K309"/>
      <c r="L309" s="205"/>
      <c r="M309" s="205"/>
      <c r="N309" s="205"/>
      <c r="O309" s="191">
        <v>1</v>
      </c>
      <c r="P309" s="191">
        <v>1.07</v>
      </c>
      <c r="Q309" s="205" t="s">
        <v>666</v>
      </c>
      <c r="R309" s="205" t="s">
        <v>1035</v>
      </c>
      <c r="S309" s="205">
        <v>793388.92619999999</v>
      </c>
      <c r="T309" s="205">
        <v>2187158.1460000002</v>
      </c>
      <c r="U309" s="205">
        <v>793413.37670000002</v>
      </c>
      <c r="V309" s="205">
        <v>2187149.9559999998</v>
      </c>
      <c r="W309" s="205"/>
      <c r="X309" s="205"/>
      <c r="Y309" s="205"/>
      <c r="Z309" s="205"/>
      <c r="AA309" s="205"/>
      <c r="AB309" s="205" t="s">
        <v>1033</v>
      </c>
      <c r="AC309" s="205" t="s">
        <v>666</v>
      </c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>
        <v>0</v>
      </c>
      <c r="B310" s="219">
        <v>0</v>
      </c>
      <c r="C310" s="205" t="s">
        <v>1022</v>
      </c>
      <c r="D310" s="205" t="s">
        <v>666</v>
      </c>
      <c r="E310" s="191">
        <v>54.78</v>
      </c>
      <c r="F310" s="205" t="s">
        <v>1033</v>
      </c>
      <c r="G310" s="205" t="s">
        <v>663</v>
      </c>
      <c r="H310" s="205"/>
      <c r="I310" s="205"/>
      <c r="J310"/>
      <c r="K310"/>
      <c r="L310" s="205"/>
      <c r="M310" s="205"/>
      <c r="N310" s="205"/>
      <c r="O310" s="191">
        <v>1.07</v>
      </c>
      <c r="P310" s="191">
        <v>1.27</v>
      </c>
      <c r="Q310" s="205" t="s">
        <v>609</v>
      </c>
      <c r="R310" s="205" t="s">
        <v>1036</v>
      </c>
      <c r="S310" s="205">
        <v>793413.37670000002</v>
      </c>
      <c r="T310" s="205">
        <v>2187149.9559999998</v>
      </c>
      <c r="U310" s="205">
        <v>793380.61540000001</v>
      </c>
      <c r="V310" s="205">
        <v>2187106.0529999998</v>
      </c>
      <c r="W310" s="205"/>
      <c r="X310" s="205"/>
      <c r="Y310" s="205"/>
      <c r="Z310" s="205"/>
      <c r="AA310" s="205"/>
      <c r="AB310" s="205" t="s">
        <v>666</v>
      </c>
      <c r="AC310" s="205" t="s">
        <v>609</v>
      </c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>
        <v>0</v>
      </c>
      <c r="B311" s="219">
        <v>1</v>
      </c>
      <c r="C311" s="205" t="s">
        <v>1022</v>
      </c>
      <c r="D311" s="205" t="s">
        <v>609</v>
      </c>
      <c r="E311" s="191">
        <v>42.63</v>
      </c>
      <c r="F311" s="205" t="s">
        <v>666</v>
      </c>
      <c r="G311" s="205"/>
      <c r="H311" s="205"/>
      <c r="I311" s="205"/>
      <c r="J311"/>
      <c r="K311"/>
      <c r="L311" s="205"/>
      <c r="M311" s="205"/>
      <c r="N311" s="205"/>
      <c r="O311" s="191">
        <v>1.27</v>
      </c>
      <c r="P311" s="191">
        <v>1.05</v>
      </c>
      <c r="Q311" s="205" t="s">
        <v>607</v>
      </c>
      <c r="R311" s="205" t="s">
        <v>1037</v>
      </c>
      <c r="S311" s="205">
        <v>793380.61540000001</v>
      </c>
      <c r="T311" s="205">
        <v>2187106.0529999998</v>
      </c>
      <c r="U311" s="205">
        <v>793355.5024</v>
      </c>
      <c r="V311" s="205">
        <v>2187071.6060000001</v>
      </c>
      <c r="W311" s="205"/>
      <c r="X311" s="205"/>
      <c r="Y311" s="205"/>
      <c r="Z311" s="205"/>
      <c r="AA311" s="205"/>
      <c r="AB311" s="205" t="s">
        <v>609</v>
      </c>
      <c r="AC311" s="205" t="s">
        <v>607</v>
      </c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>
        <v>1</v>
      </c>
      <c r="B312" s="219">
        <v>1</v>
      </c>
      <c r="C312" s="205" t="s">
        <v>1038</v>
      </c>
      <c r="D312" s="205" t="s">
        <v>599</v>
      </c>
      <c r="E312" s="191">
        <v>42.03</v>
      </c>
      <c r="F312" s="205"/>
      <c r="G312" s="205"/>
      <c r="H312" s="205"/>
      <c r="I312" s="205"/>
      <c r="J312" s="205"/>
      <c r="K312" s="205"/>
      <c r="L312" s="205"/>
      <c r="M312" s="205"/>
      <c r="N312" s="205"/>
      <c r="O312" s="191">
        <v>1.9</v>
      </c>
      <c r="P312" s="191">
        <v>1.85</v>
      </c>
      <c r="Q312" s="205" t="s">
        <v>597</v>
      </c>
      <c r="R312" s="205" t="s">
        <v>1039</v>
      </c>
      <c r="S312" s="205">
        <v>793218.25439999998</v>
      </c>
      <c r="T312" s="205">
        <v>2187162.693</v>
      </c>
      <c r="U312" s="205">
        <v>793201.99419999996</v>
      </c>
      <c r="V312" s="205">
        <v>2187123.9389999998</v>
      </c>
      <c r="W312" s="205"/>
      <c r="X312" s="205"/>
      <c r="Y312" s="205"/>
      <c r="Z312" s="205"/>
      <c r="AA312" s="205"/>
      <c r="AB312" s="205" t="s">
        <v>599</v>
      </c>
      <c r="AC312" s="205" t="s">
        <v>597</v>
      </c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0"/>
      <c r="BH312" s="200"/>
      <c r="BJ312" s="200"/>
      <c r="BK312" s="200"/>
      <c r="BL312" s="200"/>
      <c r="BM312" s="200"/>
      <c r="BN312" s="200"/>
      <c r="BO312" s="200"/>
      <c r="BP312" s="200"/>
      <c r="BQ312" s="200"/>
      <c r="BR312" s="200"/>
      <c r="BS312" s="200"/>
      <c r="BT312" s="200"/>
      <c r="BU312" s="200"/>
      <c r="BV312" s="200"/>
      <c r="BW312" s="200"/>
      <c r="BX312" s="200"/>
      <c r="BY312" s="200"/>
      <c r="BZ312" s="200"/>
      <c r="CA312" s="200"/>
      <c r="CB312" s="200"/>
      <c r="CC312" s="200"/>
      <c r="CD312" s="200"/>
      <c r="CE312" s="200"/>
      <c r="CF312" s="200"/>
      <c r="CG312" s="200"/>
      <c r="CH312" s="200"/>
      <c r="CI312" s="200"/>
      <c r="CJ312" s="200"/>
      <c r="CK312" s="200"/>
      <c r="CL312" s="200"/>
      <c r="CM312" s="200"/>
      <c r="CN312" s="200"/>
      <c r="CO312" s="200"/>
      <c r="CP312" s="200"/>
      <c r="CQ312" s="200"/>
      <c r="CR312" s="200"/>
      <c r="CS312" s="200"/>
      <c r="CT312" s="200"/>
      <c r="CU312" s="200"/>
      <c r="CV312" s="200"/>
    </row>
    <row r="313" spans="1:100" x14ac:dyDescent="0.2">
      <c r="A313" s="219"/>
      <c r="B313" s="219"/>
      <c r="C313" s="205"/>
      <c r="D313" s="205"/>
      <c r="E313" s="191"/>
      <c r="F313" s="205"/>
      <c r="G313" s="205"/>
      <c r="H313"/>
      <c r="I313" s="205"/>
      <c r="J313"/>
      <c r="K313"/>
      <c r="L313" s="205"/>
      <c r="M313" s="191"/>
      <c r="N313" s="205"/>
      <c r="O313" s="191"/>
      <c r="P313" s="191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1"/>
      <c r="F314" s="205"/>
      <c r="G314"/>
      <c r="H314"/>
      <c r="I314" s="205"/>
      <c r="J314"/>
      <c r="K314"/>
      <c r="L314" s="205"/>
      <c r="M314" s="191"/>
      <c r="N314" s="205"/>
      <c r="O314" s="191"/>
      <c r="P314" s="191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1"/>
      <c r="F315" s="205"/>
      <c r="G315" s="205"/>
      <c r="H315"/>
      <c r="I315" s="205"/>
      <c r="J315"/>
      <c r="K315"/>
      <c r="L315" s="205"/>
      <c r="M315" s="191"/>
      <c r="N315" s="205"/>
      <c r="O315" s="191"/>
      <c r="P315" s="191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1"/>
      <c r="F316" s="205"/>
      <c r="G316" s="205"/>
      <c r="H316"/>
      <c r="I316" s="205"/>
      <c r="J316"/>
      <c r="K316"/>
      <c r="L316" s="205"/>
      <c r="M316" s="191"/>
      <c r="N316" s="205"/>
      <c r="O316" s="191"/>
      <c r="P316" s="191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1"/>
      <c r="F317" s="205"/>
      <c r="G317" s="205"/>
      <c r="H317"/>
      <c r="I317" s="205"/>
      <c r="J317"/>
      <c r="K317"/>
      <c r="L317" s="205"/>
      <c r="M317" s="191"/>
      <c r="N317" s="205"/>
      <c r="O317" s="191"/>
      <c r="P317" s="191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1"/>
      <c r="F318" s="205"/>
      <c r="G318" s="205"/>
      <c r="H318" s="205"/>
      <c r="I318" s="205"/>
      <c r="J318" s="205"/>
      <c r="K318" s="205"/>
      <c r="L318" s="205"/>
      <c r="M318" s="191"/>
      <c r="N318" s="205"/>
      <c r="O318" s="191"/>
      <c r="P318" s="191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0"/>
      <c r="BJ318" s="200"/>
      <c r="BK318" s="200"/>
      <c r="BL318" s="200"/>
      <c r="BM318" s="200"/>
      <c r="BN318" s="200"/>
      <c r="BO318" s="200"/>
      <c r="BP318" s="200"/>
      <c r="BQ318" s="200"/>
      <c r="BR318" s="200"/>
      <c r="BS318" s="200"/>
      <c r="BT318" s="200"/>
      <c r="BU318" s="200"/>
      <c r="BV318" s="200"/>
      <c r="BW318" s="200"/>
      <c r="BX318" s="200"/>
      <c r="BY318" s="200"/>
      <c r="BZ318" s="200"/>
      <c r="CA318" s="200"/>
      <c r="CB318" s="200"/>
      <c r="CC318" s="200"/>
      <c r="CD318" s="200"/>
      <c r="CE318" s="200"/>
      <c r="CF318" s="200"/>
      <c r="CG318" s="200"/>
      <c r="CH318" s="200"/>
      <c r="CI318" s="200"/>
      <c r="CJ318" s="200"/>
      <c r="CK318" s="200"/>
      <c r="CL318" s="200"/>
      <c r="CM318" s="200"/>
      <c r="CN318" s="200"/>
      <c r="CO318" s="200"/>
      <c r="CP318" s="200"/>
      <c r="CQ318" s="200"/>
      <c r="CR318" s="200"/>
      <c r="CS318" s="200"/>
      <c r="CT318" s="200"/>
      <c r="CU318" s="200"/>
      <c r="CV318" s="200"/>
    </row>
    <row r="319" spans="1:100" x14ac:dyDescent="0.2">
      <c r="A319" s="219"/>
      <c r="B319" s="219"/>
      <c r="C319" s="205"/>
      <c r="D319" s="205"/>
      <c r="E319" s="191"/>
      <c r="F319" s="205"/>
      <c r="G319" s="205"/>
      <c r="H319"/>
      <c r="I319" s="205"/>
      <c r="J319"/>
      <c r="K319"/>
      <c r="L319" s="205"/>
      <c r="M319" s="191"/>
      <c r="N319" s="205"/>
      <c r="O319" s="191"/>
      <c r="P319" s="191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1"/>
      <c r="F320" s="205"/>
      <c r="G320" s="205"/>
      <c r="H320"/>
      <c r="I320" s="205"/>
      <c r="J320"/>
      <c r="K320"/>
      <c r="L320" s="205"/>
      <c r="M320" s="191"/>
      <c r="N320" s="205"/>
      <c r="O320" s="191"/>
      <c r="P320" s="191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1"/>
      <c r="F321" s="205"/>
      <c r="G321" s="205"/>
      <c r="H321"/>
      <c r="I321" s="205"/>
      <c r="J321"/>
      <c r="K321"/>
      <c r="L321" s="205"/>
      <c r="M321" s="191"/>
      <c r="N321" s="205"/>
      <c r="O321" s="191"/>
      <c r="P321" s="191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1"/>
      <c r="F322" s="205"/>
      <c r="G322" s="205"/>
      <c r="H322"/>
      <c r="I322" s="205"/>
      <c r="J322"/>
      <c r="K322"/>
      <c r="L322" s="205"/>
      <c r="M322" s="191"/>
      <c r="N322" s="205"/>
      <c r="O322" s="191"/>
      <c r="P322" s="191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1"/>
      <c r="F323" s="205"/>
      <c r="G323" s="205"/>
      <c r="H323" s="205"/>
      <c r="I323" s="205"/>
      <c r="J323" s="205"/>
      <c r="K323" s="205"/>
      <c r="L323" s="205"/>
      <c r="M323" s="191"/>
      <c r="N323" s="205"/>
      <c r="O323" s="191"/>
      <c r="P323" s="191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0"/>
      <c r="BK323" s="200"/>
      <c r="BL323" s="200"/>
      <c r="BM323" s="200"/>
      <c r="BN323" s="200"/>
      <c r="BO323" s="200"/>
      <c r="BP323" s="200"/>
      <c r="BQ323" s="200"/>
      <c r="BR323" s="200"/>
      <c r="BS323" s="200"/>
      <c r="BT323" s="200"/>
      <c r="BU323" s="200"/>
      <c r="BV323" s="200"/>
      <c r="BW323" s="200"/>
      <c r="BX323" s="200"/>
      <c r="BY323" s="200"/>
      <c r="BZ323" s="200"/>
      <c r="CA323" s="200"/>
      <c r="CB323" s="200"/>
      <c r="CC323" s="200"/>
      <c r="CD323" s="200"/>
      <c r="CE323" s="200"/>
      <c r="CF323" s="200"/>
      <c r="CG323" s="200"/>
      <c r="CH323" s="200"/>
      <c r="CI323" s="200"/>
      <c r="CJ323" s="200"/>
      <c r="CK323" s="200"/>
      <c r="CL323" s="200"/>
      <c r="CM323" s="200"/>
      <c r="CN323" s="200"/>
      <c r="CO323" s="200"/>
      <c r="CP323" s="200"/>
      <c r="CQ323" s="200"/>
      <c r="CR323" s="200"/>
      <c r="CS323" s="200"/>
      <c r="CT323" s="200"/>
      <c r="CU323" s="200"/>
      <c r="CV323" s="200"/>
    </row>
    <row r="324" spans="1:100" x14ac:dyDescent="0.2">
      <c r="A324" s="219"/>
      <c r="B324" s="219"/>
      <c r="C324" s="205"/>
      <c r="D324" s="205"/>
      <c r="E324" s="191"/>
      <c r="F324" s="205"/>
      <c r="G324" s="205"/>
      <c r="H324" s="205"/>
      <c r="I324" s="205"/>
      <c r="J324" s="205"/>
      <c r="K324" s="205"/>
      <c r="L324" s="205"/>
      <c r="M324" s="191"/>
      <c r="N324" s="205"/>
      <c r="O324" s="191"/>
      <c r="P324" s="191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0"/>
      <c r="BJ324" s="200"/>
      <c r="BK324" s="200"/>
      <c r="BL324" s="200"/>
      <c r="BM324" s="200"/>
      <c r="BN324" s="200"/>
      <c r="BO324" s="200"/>
      <c r="BP324" s="200"/>
      <c r="BQ324" s="200"/>
      <c r="BR324" s="200"/>
      <c r="BS324" s="200"/>
      <c r="BT324" s="200"/>
      <c r="BU324" s="200"/>
      <c r="BV324" s="200"/>
      <c r="BW324" s="200"/>
      <c r="BX324" s="200"/>
      <c r="BY324" s="200"/>
      <c r="BZ324" s="200"/>
      <c r="CA324" s="200"/>
      <c r="CB324" s="200"/>
      <c r="CC324" s="200"/>
      <c r="CD324" s="200"/>
      <c r="CE324" s="200"/>
      <c r="CF324" s="200"/>
      <c r="CG324" s="200"/>
      <c r="CH324" s="200"/>
      <c r="CI324" s="200"/>
      <c r="CJ324" s="200"/>
      <c r="CK324" s="200"/>
      <c r="CL324" s="200"/>
      <c r="CM324" s="200"/>
      <c r="CN324" s="200"/>
      <c r="CO324" s="200"/>
      <c r="CP324" s="200"/>
      <c r="CQ324" s="200"/>
      <c r="CR324" s="200"/>
      <c r="CS324" s="200"/>
      <c r="CT324" s="200"/>
      <c r="CU324" s="200"/>
      <c r="CV324" s="200"/>
    </row>
    <row r="325" spans="1:100" x14ac:dyDescent="0.2">
      <c r="A325" s="219"/>
      <c r="B325" s="219"/>
      <c r="C325" s="205"/>
      <c r="D325" s="205"/>
      <c r="E325" s="191"/>
      <c r="F325" s="205"/>
      <c r="G325" s="205"/>
      <c r="H325" s="205"/>
      <c r="I325" s="205"/>
      <c r="J325" s="205"/>
      <c r="K325" s="205"/>
      <c r="L325" s="205"/>
      <c r="M325" s="191"/>
      <c r="N325" s="205"/>
      <c r="O325" s="191"/>
      <c r="P325" s="191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0"/>
      <c r="BJ325" s="200"/>
      <c r="BK325" s="200"/>
      <c r="BL325" s="200"/>
      <c r="BM325" s="200"/>
      <c r="BN325" s="200"/>
      <c r="BO325" s="200"/>
      <c r="BP325" s="200"/>
      <c r="BQ325" s="200"/>
      <c r="BR325" s="200"/>
      <c r="BS325" s="200"/>
      <c r="BT325" s="200"/>
      <c r="BU325" s="200"/>
      <c r="BV325" s="200"/>
      <c r="BW325" s="200"/>
      <c r="BX325" s="200"/>
      <c r="BY325" s="200"/>
      <c r="BZ325" s="200"/>
      <c r="CA325" s="200"/>
      <c r="CB325" s="200"/>
      <c r="CC325" s="200"/>
      <c r="CD325" s="200"/>
      <c r="CE325" s="200"/>
      <c r="CF325" s="200"/>
      <c r="CG325" s="200"/>
      <c r="CH325" s="200"/>
      <c r="CI325" s="200"/>
      <c r="CJ325" s="200"/>
      <c r="CK325" s="200"/>
      <c r="CL325" s="200"/>
      <c r="CM325" s="200"/>
      <c r="CN325" s="200"/>
      <c r="CP325" s="200"/>
      <c r="CQ325" s="200"/>
      <c r="CR325" s="200"/>
      <c r="CS325" s="200"/>
      <c r="CT325" s="200"/>
      <c r="CU325" s="200"/>
      <c r="CV325" s="200"/>
    </row>
    <row r="326" spans="1:100" x14ac:dyDescent="0.2">
      <c r="A326" s="219"/>
      <c r="B326" s="219"/>
      <c r="C326" s="205"/>
      <c r="D326" s="205"/>
      <c r="E326" s="191"/>
      <c r="F326" s="205"/>
      <c r="G326" s="205"/>
      <c r="H326"/>
      <c r="I326" s="205"/>
      <c r="J326"/>
      <c r="K326"/>
      <c r="L326" s="205"/>
      <c r="M326" s="191"/>
      <c r="N326" s="205"/>
      <c r="O326" s="191"/>
      <c r="P326" s="191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1"/>
      <c r="F327" s="205"/>
      <c r="G327" s="205"/>
      <c r="H327" s="205"/>
      <c r="I327" s="205"/>
      <c r="J327" s="205"/>
      <c r="K327" s="205"/>
      <c r="L327" s="205"/>
      <c r="M327" s="191"/>
      <c r="N327" s="205"/>
      <c r="O327" s="191"/>
      <c r="P327" s="191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0"/>
      <c r="BJ327" s="200"/>
      <c r="BK327" s="200"/>
      <c r="BL327" s="200"/>
      <c r="BM327" s="200"/>
      <c r="BN327" s="200"/>
      <c r="BO327" s="200"/>
      <c r="BP327" s="200"/>
      <c r="BQ327" s="200"/>
      <c r="BR327" s="200"/>
      <c r="BS327" s="200"/>
      <c r="BT327" s="200"/>
      <c r="BU327" s="200"/>
      <c r="BV327" s="200"/>
      <c r="BW327" s="200"/>
      <c r="BX327" s="200"/>
      <c r="BY327" s="200"/>
      <c r="BZ327" s="200"/>
      <c r="CA327" s="200"/>
      <c r="CB327" s="200"/>
      <c r="CC327" s="200"/>
      <c r="CD327" s="200"/>
      <c r="CE327" s="200"/>
      <c r="CF327" s="200"/>
      <c r="CG327" s="200"/>
      <c r="CH327" s="200"/>
      <c r="CI327" s="200"/>
      <c r="CJ327" s="200"/>
      <c r="CK327" s="200"/>
      <c r="CL327" s="200"/>
      <c r="CM327" s="200"/>
      <c r="CN327" s="200"/>
      <c r="CO327" s="200"/>
      <c r="CP327" s="200"/>
      <c r="CQ327" s="200"/>
      <c r="CR327" s="200"/>
      <c r="CS327" s="200"/>
      <c r="CT327" s="200"/>
      <c r="CU327" s="200"/>
      <c r="CV327" s="200"/>
    </row>
    <row r="328" spans="1:100" x14ac:dyDescent="0.2">
      <c r="A328" s="219"/>
      <c r="B328" s="219"/>
      <c r="C328" s="205"/>
      <c r="D328" s="205"/>
      <c r="E328" s="191"/>
      <c r="F328" s="205"/>
      <c r="G328" s="205"/>
      <c r="H328"/>
      <c r="I328" s="205"/>
      <c r="J328"/>
      <c r="K328"/>
      <c r="L328" s="205"/>
      <c r="M328" s="191"/>
      <c r="N328" s="205"/>
      <c r="O328" s="191"/>
      <c r="P328" s="191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1"/>
      <c r="F329" s="205"/>
      <c r="G329" s="205"/>
      <c r="H329"/>
      <c r="I329" s="205"/>
      <c r="J329"/>
      <c r="K329"/>
      <c r="L329" s="205"/>
      <c r="M329" s="191"/>
      <c r="N329" s="205"/>
      <c r="O329" s="191"/>
      <c r="P329" s="191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1"/>
      <c r="F330" s="205"/>
      <c r="G330" s="205"/>
      <c r="H330"/>
      <c r="I330" s="205"/>
      <c r="J330"/>
      <c r="K330"/>
      <c r="L330" s="205"/>
      <c r="M330" s="191"/>
      <c r="N330" s="205"/>
      <c r="O330" s="191"/>
      <c r="P330" s="191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1"/>
      <c r="F331" s="205"/>
      <c r="G331" s="205"/>
      <c r="H331" s="205"/>
      <c r="I331" s="205"/>
      <c r="J331"/>
      <c r="K331"/>
      <c r="L331" s="205"/>
      <c r="M331" s="191"/>
      <c r="N331" s="205"/>
      <c r="O331" s="191"/>
      <c r="P331" s="191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1"/>
      <c r="F332" s="205"/>
      <c r="G332" s="205"/>
      <c r="H332"/>
      <c r="I332" s="205"/>
      <c r="J332"/>
      <c r="K332"/>
      <c r="L332" s="205"/>
      <c r="M332" s="191"/>
      <c r="N332" s="205"/>
      <c r="O332" s="191"/>
      <c r="P332" s="191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1"/>
      <c r="F333" s="205"/>
      <c r="G333" s="205"/>
      <c r="H333"/>
      <c r="I333" s="205"/>
      <c r="J333"/>
      <c r="K333"/>
      <c r="L333" s="205"/>
      <c r="M333" s="191"/>
      <c r="N333" s="205"/>
      <c r="O333" s="191"/>
      <c r="P333" s="191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1"/>
      <c r="F334" s="205"/>
      <c r="G334" s="205"/>
      <c r="H334"/>
      <c r="I334" s="205"/>
      <c r="J334"/>
      <c r="K334"/>
      <c r="L334" s="205"/>
      <c r="M334" s="191"/>
      <c r="N334" s="205"/>
      <c r="O334" s="191"/>
      <c r="P334" s="191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1"/>
      <c r="F335" s="205"/>
      <c r="G335" s="205"/>
      <c r="H335"/>
      <c r="I335" s="205"/>
      <c r="J335"/>
      <c r="K335"/>
      <c r="L335" s="205"/>
      <c r="M335" s="191"/>
      <c r="N335" s="205"/>
      <c r="O335" s="191"/>
      <c r="P335" s="191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1"/>
      <c r="F336" s="205"/>
      <c r="G336" s="205"/>
      <c r="H336"/>
      <c r="I336" s="205"/>
      <c r="J336"/>
      <c r="K336"/>
      <c r="L336" s="205"/>
      <c r="M336" s="191"/>
      <c r="N336" s="205"/>
      <c r="O336" s="191"/>
      <c r="P336" s="191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1"/>
      <c r="F337" s="205"/>
      <c r="G337" s="205"/>
      <c r="H337" s="205"/>
      <c r="I337" s="205"/>
      <c r="J337" s="205"/>
      <c r="K337" s="205"/>
      <c r="L337" s="205"/>
      <c r="M337" s="191"/>
      <c r="N337" s="205"/>
      <c r="O337" s="191"/>
      <c r="P337" s="191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0"/>
      <c r="BJ337" s="200"/>
      <c r="BK337" s="200"/>
      <c r="BL337" s="200"/>
      <c r="BM337" s="200"/>
      <c r="BN337" s="200"/>
      <c r="BO337" s="200"/>
      <c r="BP337" s="200"/>
      <c r="BQ337" s="200"/>
      <c r="BR337" s="200"/>
      <c r="BS337" s="200"/>
      <c r="BT337" s="200"/>
      <c r="BU337" s="200"/>
      <c r="BV337" s="200"/>
      <c r="BW337" s="200"/>
      <c r="BX337" s="200"/>
      <c r="BY337" s="200"/>
      <c r="BZ337" s="200"/>
      <c r="CA337" s="200"/>
      <c r="CB337" s="200"/>
      <c r="CC337" s="200"/>
      <c r="CD337" s="200"/>
      <c r="CE337" s="200"/>
      <c r="CF337" s="200"/>
      <c r="CG337" s="200"/>
      <c r="CH337" s="200"/>
      <c r="CI337" s="200"/>
      <c r="CJ337" s="200"/>
      <c r="CK337" s="200"/>
      <c r="CL337" s="200"/>
      <c r="CM337" s="200"/>
      <c r="CN337" s="200"/>
      <c r="CO337" s="200"/>
      <c r="CP337" s="200"/>
      <c r="CQ337" s="200"/>
      <c r="CR337" s="200"/>
      <c r="CS337" s="200"/>
      <c r="CT337" s="200"/>
      <c r="CU337" s="200"/>
      <c r="CV337" s="200"/>
    </row>
    <row r="338" spans="1:100" x14ac:dyDescent="0.2">
      <c r="A338" s="219"/>
      <c r="B338" s="219"/>
      <c r="C338" s="205"/>
      <c r="D338" s="205"/>
      <c r="E338" s="191"/>
      <c r="F338" s="205"/>
      <c r="G338" s="205"/>
      <c r="H338"/>
      <c r="I338" s="205"/>
      <c r="J338"/>
      <c r="K338"/>
      <c r="L338" s="205"/>
      <c r="M338" s="191"/>
      <c r="N338" s="205"/>
      <c r="O338" s="191"/>
      <c r="P338" s="191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1"/>
      <c r="F339" s="205"/>
      <c r="G339" s="205"/>
      <c r="H339"/>
      <c r="I339" s="205"/>
      <c r="J339"/>
      <c r="K339"/>
      <c r="L339" s="205"/>
      <c r="M339" s="191"/>
      <c r="N339" s="205"/>
      <c r="O339" s="191"/>
      <c r="P339" s="191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1"/>
      <c r="F340" s="205"/>
      <c r="G340" s="205"/>
      <c r="H340"/>
      <c r="I340" s="205"/>
      <c r="J340"/>
      <c r="K340"/>
      <c r="L340" s="205"/>
      <c r="M340" s="191"/>
      <c r="N340" s="205"/>
      <c r="O340" s="191"/>
      <c r="P340" s="191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1"/>
      <c r="F341" s="205"/>
      <c r="G341" s="205"/>
      <c r="H341"/>
      <c r="I341" s="205"/>
      <c r="J341"/>
      <c r="K341"/>
      <c r="L341" s="205"/>
      <c r="M341" s="191"/>
      <c r="N341" s="205"/>
      <c r="O341" s="191"/>
      <c r="P341" s="191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1"/>
      <c r="F342" s="205"/>
      <c r="G342" s="205"/>
      <c r="H342" s="205"/>
      <c r="I342" s="205"/>
      <c r="J342" s="205"/>
      <c r="K342" s="205"/>
      <c r="L342" s="205"/>
      <c r="M342" s="191"/>
      <c r="N342" s="205"/>
      <c r="O342" s="191"/>
      <c r="P342" s="191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0"/>
      <c r="BJ342" s="200"/>
      <c r="BK342" s="200"/>
      <c r="BL342" s="200"/>
      <c r="BM342" s="200"/>
      <c r="BN342" s="200"/>
      <c r="BO342" s="200"/>
      <c r="BP342" s="200"/>
      <c r="BQ342" s="200"/>
      <c r="BR342" s="200"/>
      <c r="BS342" s="200"/>
      <c r="BT342" s="200"/>
      <c r="BU342" s="200"/>
      <c r="BV342" s="200"/>
      <c r="BW342" s="200"/>
      <c r="BX342" s="200"/>
      <c r="BY342" s="200"/>
      <c r="BZ342" s="200"/>
      <c r="CA342" s="200"/>
      <c r="CB342" s="200"/>
      <c r="CC342" s="200"/>
      <c r="CD342" s="200"/>
      <c r="CE342" s="200"/>
      <c r="CF342" s="200"/>
      <c r="CG342" s="200"/>
      <c r="CH342" s="200"/>
      <c r="CI342" s="200"/>
      <c r="CJ342" s="200"/>
      <c r="CK342" s="200"/>
      <c r="CL342" s="200"/>
      <c r="CM342" s="200"/>
      <c r="CN342" s="200"/>
      <c r="CO342" s="200"/>
      <c r="CP342" s="200"/>
      <c r="CQ342" s="200"/>
      <c r="CR342" s="200"/>
      <c r="CS342" s="200"/>
      <c r="CT342" s="200"/>
      <c r="CU342" s="200"/>
      <c r="CV342" s="200"/>
    </row>
    <row r="343" spans="1:100" x14ac:dyDescent="0.2">
      <c r="A343" s="219"/>
      <c r="B343" s="219"/>
      <c r="C343" s="205"/>
      <c r="D343" s="205"/>
      <c r="E343" s="191"/>
      <c r="F343" s="205"/>
      <c r="G343"/>
      <c r="H343"/>
      <c r="I343" s="205"/>
      <c r="J343"/>
      <c r="K343"/>
      <c r="L343" s="205"/>
      <c r="M343" s="191"/>
      <c r="N343" s="205"/>
      <c r="O343" s="191"/>
      <c r="P343" s="191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1"/>
      <c r="F344" s="205"/>
      <c r="G344" s="205"/>
      <c r="H344"/>
      <c r="I344" s="205"/>
      <c r="J344"/>
      <c r="K344"/>
      <c r="L344" s="205"/>
      <c r="M344" s="191"/>
      <c r="N344" s="205"/>
      <c r="O344" s="191"/>
      <c r="P344" s="191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1"/>
      <c r="F345" s="205"/>
      <c r="G345" s="205"/>
      <c r="H345"/>
      <c r="I345" s="205"/>
      <c r="J345"/>
      <c r="K345"/>
      <c r="L345" s="205"/>
      <c r="M345" s="191"/>
      <c r="N345" s="205"/>
      <c r="O345" s="191"/>
      <c r="P345" s="191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1"/>
      <c r="F346" s="205"/>
      <c r="G346" s="205"/>
      <c r="H346"/>
      <c r="I346" s="205"/>
      <c r="J346"/>
      <c r="K346"/>
      <c r="L346" s="205"/>
      <c r="M346" s="191"/>
      <c r="N346" s="205"/>
      <c r="O346" s="191"/>
      <c r="P346" s="191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1"/>
      <c r="F347" s="205"/>
      <c r="G347" s="205"/>
      <c r="H347"/>
      <c r="I347" s="205"/>
      <c r="J347"/>
      <c r="K347"/>
      <c r="L347" s="205"/>
      <c r="M347" s="191"/>
      <c r="N347" s="205"/>
      <c r="O347" s="191"/>
      <c r="P347" s="191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1"/>
      <c r="F348" s="205"/>
      <c r="G348" s="205"/>
      <c r="H348"/>
      <c r="I348" s="205"/>
      <c r="J348"/>
      <c r="K348"/>
      <c r="L348" s="205"/>
      <c r="M348" s="191"/>
      <c r="N348" s="205"/>
      <c r="O348" s="191"/>
      <c r="P348" s="191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1"/>
      <c r="F349" s="205"/>
      <c r="G349" s="205"/>
      <c r="H349"/>
      <c r="I349" s="205"/>
      <c r="J349"/>
      <c r="K349"/>
      <c r="L349" s="205"/>
      <c r="M349" s="191"/>
      <c r="N349" s="205"/>
      <c r="O349" s="191"/>
      <c r="P349" s="191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1"/>
      <c r="F350" s="205"/>
      <c r="G350" s="205"/>
      <c r="H350"/>
      <c r="I350" s="205"/>
      <c r="J350"/>
      <c r="K350"/>
      <c r="L350" s="205"/>
      <c r="M350" s="191"/>
      <c r="N350" s="205"/>
      <c r="O350" s="191"/>
      <c r="P350" s="191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1"/>
      <c r="F351" s="205"/>
      <c r="G351" s="205"/>
      <c r="H351"/>
      <c r="I351" s="205"/>
      <c r="J351"/>
      <c r="K351"/>
      <c r="L351" s="205"/>
      <c r="M351" s="191"/>
      <c r="N351" s="205"/>
      <c r="O351" s="191"/>
      <c r="P351" s="191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1"/>
      <c r="F352" s="205"/>
      <c r="G352" s="205"/>
      <c r="H352"/>
      <c r="I352" s="205"/>
      <c r="J352"/>
      <c r="K352"/>
      <c r="L352" s="205"/>
      <c r="M352" s="191"/>
      <c r="N352" s="205"/>
      <c r="O352" s="191"/>
      <c r="P352" s="191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1"/>
      <c r="F353" s="205"/>
      <c r="G353" s="205"/>
      <c r="H353"/>
      <c r="I353" s="205"/>
      <c r="J353"/>
      <c r="K353"/>
      <c r="L353" s="205"/>
      <c r="M353" s="191"/>
      <c r="N353" s="205"/>
      <c r="O353" s="191"/>
      <c r="P353" s="191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1"/>
      <c r="F354" s="205"/>
      <c r="G354" s="205"/>
      <c r="H354"/>
      <c r="I354" s="205"/>
      <c r="J354"/>
      <c r="K354"/>
      <c r="L354" s="205"/>
      <c r="M354" s="191"/>
      <c r="N354" s="205"/>
      <c r="O354" s="191"/>
      <c r="P354" s="191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1"/>
      <c r="F355" s="205"/>
      <c r="G355" s="205"/>
      <c r="H355"/>
      <c r="I355" s="205"/>
      <c r="J355"/>
      <c r="K355"/>
      <c r="L355" s="205"/>
      <c r="M355" s="191"/>
      <c r="N355" s="205"/>
      <c r="O355" s="191"/>
      <c r="P355" s="191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1"/>
      <c r="F356" s="205"/>
      <c r="G356" s="205"/>
      <c r="H356"/>
      <c r="I356" s="205"/>
      <c r="J356"/>
      <c r="K356"/>
      <c r="L356" s="205"/>
      <c r="M356" s="191"/>
      <c r="N356" s="205"/>
      <c r="O356" s="191"/>
      <c r="P356" s="191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1"/>
      <c r="F357" s="205"/>
      <c r="G357" s="205"/>
      <c r="H357"/>
      <c r="I357" s="205"/>
      <c r="J357"/>
      <c r="K357"/>
      <c r="L357" s="205"/>
      <c r="M357" s="191"/>
      <c r="N357" s="205"/>
      <c r="O357" s="191"/>
      <c r="P357" s="191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1"/>
      <c r="F358" s="205"/>
      <c r="G358" s="205"/>
      <c r="H358"/>
      <c r="I358" s="205"/>
      <c r="J358"/>
      <c r="K358"/>
      <c r="L358" s="205"/>
      <c r="M358" s="191"/>
      <c r="N358" s="205"/>
      <c r="O358" s="191"/>
      <c r="P358" s="191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1"/>
      <c r="F359" s="205"/>
      <c r="G359" s="205"/>
      <c r="H359"/>
      <c r="I359" s="205"/>
      <c r="J359"/>
      <c r="K359"/>
      <c r="L359" s="205"/>
      <c r="M359" s="191"/>
      <c r="N359" s="205"/>
      <c r="O359" s="191"/>
      <c r="P359" s="191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1"/>
      <c r="F360" s="205"/>
      <c r="G360"/>
      <c r="H360"/>
      <c r="I360" s="205"/>
      <c r="J360"/>
      <c r="K360"/>
      <c r="L360" s="205"/>
      <c r="M360" s="191"/>
      <c r="N360" s="205"/>
      <c r="O360" s="191"/>
      <c r="P360" s="191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1"/>
      <c r="F361" s="205"/>
      <c r="G361" s="205"/>
      <c r="H361"/>
      <c r="I361" s="205"/>
      <c r="J361"/>
      <c r="K361"/>
      <c r="L361" s="205"/>
      <c r="M361" s="191"/>
      <c r="N361" s="205"/>
      <c r="O361" s="191"/>
      <c r="P361" s="191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1"/>
      <c r="F362" s="205"/>
      <c r="G362" s="205"/>
      <c r="H362"/>
      <c r="I362" s="205"/>
      <c r="J362"/>
      <c r="K362"/>
      <c r="L362" s="205"/>
      <c r="M362" s="191"/>
      <c r="N362" s="205"/>
      <c r="O362" s="191"/>
      <c r="P362" s="191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1"/>
      <c r="F363" s="205"/>
      <c r="G363" s="205"/>
      <c r="H363"/>
      <c r="I363" s="205"/>
      <c r="J363"/>
      <c r="K363"/>
      <c r="L363" s="205"/>
      <c r="M363" s="191"/>
      <c r="N363" s="205"/>
      <c r="O363" s="191"/>
      <c r="P363" s="191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1"/>
      <c r="F364" s="205"/>
      <c r="G364" s="205"/>
      <c r="H364"/>
      <c r="I364" s="205"/>
      <c r="J364"/>
      <c r="K364"/>
      <c r="L364" s="205"/>
      <c r="M364" s="191"/>
      <c r="N364" s="205"/>
      <c r="O364" s="191"/>
      <c r="P364" s="191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1"/>
      <c r="F365" s="205"/>
      <c r="G365" s="205"/>
      <c r="H365"/>
      <c r="I365" s="205"/>
      <c r="J365"/>
      <c r="K365"/>
      <c r="L365" s="205"/>
      <c r="M365" s="191"/>
      <c r="N365" s="205"/>
      <c r="O365" s="191"/>
      <c r="P365" s="191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1"/>
      <c r="F366" s="205"/>
      <c r="G366" s="205"/>
      <c r="H366"/>
      <c r="I366" s="205"/>
      <c r="J366"/>
      <c r="K366"/>
      <c r="L366" s="205"/>
      <c r="M366" s="191"/>
      <c r="N366" s="205"/>
      <c r="O366" s="191"/>
      <c r="P366" s="191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1"/>
      <c r="F367" s="205"/>
      <c r="G367" s="205"/>
      <c r="H367"/>
      <c r="I367" s="205"/>
      <c r="J367"/>
      <c r="K367"/>
      <c r="L367" s="205"/>
      <c r="M367" s="191"/>
      <c r="N367" s="205"/>
      <c r="O367" s="191"/>
      <c r="P367" s="191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1"/>
      <c r="F368" s="205"/>
      <c r="G368"/>
      <c r="H368"/>
      <c r="I368" s="205"/>
      <c r="J368"/>
      <c r="K368"/>
      <c r="L368" s="205"/>
      <c r="M368" s="191"/>
      <c r="N368" s="205"/>
      <c r="O368" s="191"/>
      <c r="P368" s="191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1"/>
      <c r="F369" s="205"/>
      <c r="G369" s="205"/>
      <c r="H369"/>
      <c r="I369" s="205"/>
      <c r="J369"/>
      <c r="K369"/>
      <c r="L369" s="205"/>
      <c r="M369" s="191"/>
      <c r="N369" s="205"/>
      <c r="O369" s="191"/>
      <c r="P369" s="191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1"/>
      <c r="F370" s="205"/>
      <c r="G370" s="205"/>
      <c r="H370"/>
      <c r="I370" s="205"/>
      <c r="J370"/>
      <c r="K370"/>
      <c r="L370" s="205"/>
      <c r="M370" s="191"/>
      <c r="N370" s="205"/>
      <c r="O370" s="191"/>
      <c r="P370" s="191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1"/>
      <c r="F371" s="205"/>
      <c r="G371" s="205"/>
      <c r="H371"/>
      <c r="I371" s="205"/>
      <c r="J371"/>
      <c r="K371"/>
      <c r="L371" s="205"/>
      <c r="M371" s="191"/>
      <c r="N371" s="205"/>
      <c r="O371" s="191"/>
      <c r="P371" s="191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1"/>
      <c r="F372" s="205"/>
      <c r="G372"/>
      <c r="H372"/>
      <c r="I372" s="205"/>
      <c r="J372"/>
      <c r="K372"/>
      <c r="L372" s="205"/>
      <c r="M372" s="191"/>
      <c r="N372" s="205"/>
      <c r="O372" s="191"/>
      <c r="P372" s="191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1"/>
      <c r="F373" s="205"/>
      <c r="G373" s="205"/>
      <c r="H373"/>
      <c r="I373" s="205"/>
      <c r="J373"/>
      <c r="K373"/>
      <c r="L373" s="205"/>
      <c r="M373" s="191"/>
      <c r="N373" s="205"/>
      <c r="O373" s="191"/>
      <c r="P373" s="191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1"/>
      <c r="F374" s="205"/>
      <c r="G374" s="205"/>
      <c r="H374"/>
      <c r="I374" s="205"/>
      <c r="J374"/>
      <c r="K374"/>
      <c r="L374" s="205"/>
      <c r="M374" s="191"/>
      <c r="N374" s="205"/>
      <c r="O374" s="191"/>
      <c r="P374" s="191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1"/>
      <c r="F375" s="205"/>
      <c r="G375" s="205"/>
      <c r="H375"/>
      <c r="I375" s="205"/>
      <c r="J375"/>
      <c r="K375"/>
      <c r="L375" s="205"/>
      <c r="M375" s="191"/>
      <c r="N375" s="205"/>
      <c r="O375" s="191"/>
      <c r="P375" s="191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1"/>
      <c r="F376" s="205"/>
      <c r="G376" s="205"/>
      <c r="H376"/>
      <c r="I376" s="205"/>
      <c r="J376"/>
      <c r="K376"/>
      <c r="L376" s="205"/>
      <c r="M376" s="191"/>
      <c r="N376" s="205"/>
      <c r="O376" s="191"/>
      <c r="P376" s="191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1"/>
      <c r="F377" s="205"/>
      <c r="G377" s="205"/>
      <c r="H377"/>
      <c r="I377" s="205"/>
      <c r="J377"/>
      <c r="K377"/>
      <c r="L377" s="205"/>
      <c r="M377" s="191"/>
      <c r="N377" s="205"/>
      <c r="O377" s="191"/>
      <c r="P377" s="191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1"/>
      <c r="F378" s="205"/>
      <c r="G378" s="205"/>
      <c r="H378"/>
      <c r="I378" s="205"/>
      <c r="J378"/>
      <c r="K378"/>
      <c r="L378" s="205"/>
      <c r="M378" s="191"/>
      <c r="N378" s="205"/>
      <c r="O378" s="191"/>
      <c r="P378" s="191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1"/>
      <c r="F379" s="205"/>
      <c r="G379" s="205"/>
      <c r="H379" s="205"/>
      <c r="I379" s="205"/>
      <c r="J379"/>
      <c r="K379"/>
      <c r="L379" s="205"/>
      <c r="M379" s="191"/>
      <c r="N379" s="205"/>
      <c r="O379" s="191"/>
      <c r="P379" s="191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1"/>
      <c r="F380" s="205"/>
      <c r="G380" s="205"/>
      <c r="H380"/>
      <c r="I380" s="205"/>
      <c r="J380"/>
      <c r="K380"/>
      <c r="L380" s="205"/>
      <c r="M380" s="191"/>
      <c r="N380" s="205"/>
      <c r="O380" s="191"/>
      <c r="P380" s="191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1"/>
      <c r="F381" s="205"/>
      <c r="G381" s="205"/>
      <c r="H381" s="205"/>
      <c r="I381" s="205"/>
      <c r="J381"/>
      <c r="K381"/>
      <c r="L381" s="205"/>
      <c r="M381" s="191"/>
      <c r="N381" s="205"/>
      <c r="O381" s="191"/>
      <c r="P381" s="191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1"/>
      <c r="F382" s="205"/>
      <c r="G382"/>
      <c r="H382"/>
      <c r="I382" s="205"/>
      <c r="J382"/>
      <c r="K382"/>
      <c r="L382" s="205"/>
      <c r="M382" s="191"/>
      <c r="N382" s="205"/>
      <c r="O382" s="191"/>
      <c r="P382" s="191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1"/>
      <c r="F383" s="205"/>
      <c r="G383"/>
      <c r="H383"/>
      <c r="I383" s="205"/>
      <c r="J383"/>
      <c r="K383"/>
      <c r="L383" s="205"/>
      <c r="M383" s="191"/>
      <c r="N383" s="205"/>
      <c r="O383" s="191"/>
      <c r="P383" s="191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1"/>
      <c r="F384" s="205"/>
      <c r="G384" s="205"/>
      <c r="H384"/>
      <c r="I384" s="205"/>
      <c r="J384"/>
      <c r="K384"/>
      <c r="L384" s="205"/>
      <c r="M384" s="191"/>
      <c r="N384" s="205"/>
      <c r="O384" s="191"/>
      <c r="P384" s="191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1"/>
      <c r="F385" s="205"/>
      <c r="G385" s="205"/>
      <c r="H385" s="205"/>
      <c r="I385" s="205"/>
      <c r="J385" s="205"/>
      <c r="K385" s="205"/>
      <c r="L385" s="205"/>
      <c r="M385" s="191"/>
      <c r="N385" s="205"/>
      <c r="O385" s="191"/>
      <c r="P385" s="191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0"/>
      <c r="BJ385" s="200"/>
      <c r="BK385" s="200"/>
      <c r="BL385" s="200"/>
      <c r="BM385" s="200"/>
      <c r="BN385" s="200"/>
      <c r="BO385" s="200"/>
      <c r="BP385" s="200"/>
      <c r="BQ385" s="200"/>
      <c r="BR385" s="200"/>
      <c r="BS385" s="200"/>
      <c r="BT385" s="200"/>
      <c r="BU385" s="200"/>
      <c r="BV385" s="200"/>
      <c r="BW385" s="200"/>
      <c r="BX385" s="200"/>
      <c r="BY385" s="200"/>
      <c r="BZ385" s="200"/>
      <c r="CA385" s="200"/>
      <c r="CB385" s="200"/>
      <c r="CC385" s="200"/>
      <c r="CD385" s="200"/>
      <c r="CE385" s="200"/>
      <c r="CF385" s="200"/>
      <c r="CG385" s="200"/>
      <c r="CH385" s="200"/>
      <c r="CI385" s="200"/>
      <c r="CJ385" s="200"/>
      <c r="CK385" s="200"/>
      <c r="CL385" s="200"/>
      <c r="CM385" s="200"/>
      <c r="CN385" s="200"/>
      <c r="CP385" s="200"/>
      <c r="CQ385" s="200"/>
      <c r="CR385" s="200"/>
      <c r="CS385" s="200"/>
      <c r="CT385" s="200"/>
      <c r="CU385" s="200"/>
      <c r="CV385" s="200"/>
    </row>
    <row r="386" spans="1:100" x14ac:dyDescent="0.2">
      <c r="A386" s="219"/>
      <c r="B386" s="219"/>
      <c r="C386" s="205"/>
      <c r="D386" s="205"/>
      <c r="E386" s="191"/>
      <c r="F386"/>
      <c r="G386"/>
      <c r="H386"/>
      <c r="I386" s="205"/>
      <c r="J386"/>
      <c r="K386"/>
      <c r="L386" s="205"/>
      <c r="M386" s="191"/>
      <c r="N386" s="205"/>
      <c r="O386" s="191"/>
      <c r="P386" s="191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1"/>
      <c r="F387" s="205"/>
      <c r="G387"/>
      <c r="H387"/>
      <c r="I387" s="205"/>
      <c r="J387"/>
      <c r="K387"/>
      <c r="L387" s="205"/>
      <c r="M387" s="191"/>
      <c r="N387" s="205"/>
      <c r="O387" s="191"/>
      <c r="P387" s="191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1"/>
      <c r="F388" s="205"/>
      <c r="G388"/>
      <c r="H388"/>
      <c r="I388" s="205"/>
      <c r="J388"/>
      <c r="K388"/>
      <c r="L388" s="205"/>
      <c r="M388" s="191"/>
      <c r="N388" s="205"/>
      <c r="O388" s="191"/>
      <c r="P388" s="191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1"/>
      <c r="F389" s="205"/>
      <c r="G389"/>
      <c r="H389"/>
      <c r="I389" s="205"/>
      <c r="J389"/>
      <c r="K389"/>
      <c r="L389" s="205"/>
      <c r="M389" s="191"/>
      <c r="N389" s="205"/>
      <c r="O389" s="191"/>
      <c r="P389" s="191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1"/>
      <c r="F390" s="205"/>
      <c r="G390" s="205"/>
      <c r="H390"/>
      <c r="I390" s="205"/>
      <c r="J390"/>
      <c r="K390"/>
      <c r="L390" s="205"/>
      <c r="M390" s="191"/>
      <c r="N390" s="205"/>
      <c r="O390" s="191"/>
      <c r="P390" s="191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1"/>
      <c r="F391" s="205"/>
      <c r="G391" s="205"/>
      <c r="H391"/>
      <c r="I391" s="205"/>
      <c r="J391"/>
      <c r="K391"/>
      <c r="L391" s="205"/>
      <c r="M391" s="191"/>
      <c r="N391" s="205"/>
      <c r="O391" s="191"/>
      <c r="P391" s="191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1"/>
      <c r="F392" s="205"/>
      <c r="G392" s="205"/>
      <c r="H392"/>
      <c r="I392" s="205"/>
      <c r="J392"/>
      <c r="K392"/>
      <c r="L392" s="205"/>
      <c r="M392" s="191"/>
      <c r="N392" s="205"/>
      <c r="O392" s="191"/>
      <c r="P392" s="191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1"/>
      <c r="F393" s="205"/>
      <c r="G393" s="205"/>
      <c r="H393"/>
      <c r="I393" s="205"/>
      <c r="J393"/>
      <c r="K393"/>
      <c r="L393" s="205"/>
      <c r="M393" s="191"/>
      <c r="N393" s="205"/>
      <c r="O393" s="191"/>
      <c r="P393" s="191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1"/>
      <c r="F394" s="205"/>
      <c r="G394" s="205"/>
      <c r="H394"/>
      <c r="I394" s="205"/>
      <c r="J394"/>
      <c r="K394"/>
      <c r="L394" s="205"/>
      <c r="M394" s="191"/>
      <c r="N394" s="205"/>
      <c r="O394" s="191"/>
      <c r="P394" s="191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1"/>
      <c r="F395" s="205"/>
      <c r="G395" s="205"/>
      <c r="H395"/>
      <c r="I395" s="205"/>
      <c r="J395"/>
      <c r="K395"/>
      <c r="L395" s="205"/>
      <c r="M395" s="191"/>
      <c r="N395" s="205"/>
      <c r="O395" s="191"/>
      <c r="P395" s="191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1"/>
      <c r="F396" s="205"/>
      <c r="G396" s="205"/>
      <c r="H396"/>
      <c r="I396" s="205"/>
      <c r="J396"/>
      <c r="K396"/>
      <c r="L396" s="205"/>
      <c r="M396" s="191"/>
      <c r="N396" s="205"/>
      <c r="O396" s="191"/>
      <c r="P396" s="191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1"/>
      <c r="F397" s="205"/>
      <c r="G397" s="205"/>
      <c r="H397"/>
      <c r="I397" s="205"/>
      <c r="J397"/>
      <c r="K397"/>
      <c r="L397" s="205"/>
      <c r="M397" s="191"/>
      <c r="N397" s="205"/>
      <c r="O397" s="191"/>
      <c r="P397" s="191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1"/>
      <c r="F398" s="205"/>
      <c r="G398" s="205"/>
      <c r="H398"/>
      <c r="I398" s="205"/>
      <c r="J398"/>
      <c r="K398"/>
      <c r="L398" s="205"/>
      <c r="M398" s="191"/>
      <c r="N398" s="205"/>
      <c r="O398" s="191"/>
      <c r="P398" s="191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1"/>
      <c r="F399" s="205"/>
      <c r="G399" s="205"/>
      <c r="H399"/>
      <c r="I399" s="205"/>
      <c r="J399"/>
      <c r="K399"/>
      <c r="L399" s="205"/>
      <c r="M399" s="191"/>
      <c r="N399" s="205"/>
      <c r="O399" s="191"/>
      <c r="P399" s="191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1"/>
      <c r="F400" s="205"/>
      <c r="G400"/>
      <c r="H400"/>
      <c r="I400" s="205"/>
      <c r="J400"/>
      <c r="K400"/>
      <c r="L400" s="205"/>
      <c r="M400" s="191"/>
      <c r="N400" s="205"/>
      <c r="O400" s="191"/>
      <c r="P400" s="191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1"/>
      <c r="F401" s="205"/>
      <c r="G401" s="205"/>
      <c r="H401"/>
      <c r="I401" s="205"/>
      <c r="J401"/>
      <c r="K401"/>
      <c r="L401" s="205"/>
      <c r="M401" s="191"/>
      <c r="N401" s="205"/>
      <c r="O401" s="191"/>
      <c r="P401" s="191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1"/>
      <c r="F402" s="205"/>
      <c r="G402" s="205"/>
      <c r="H402"/>
      <c r="I402" s="205"/>
      <c r="J402"/>
      <c r="K402"/>
      <c r="L402" s="205"/>
      <c r="M402" s="191"/>
      <c r="N402" s="205"/>
      <c r="O402" s="191"/>
      <c r="P402" s="191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1"/>
      <c r="F403" s="205"/>
      <c r="G403" s="205"/>
      <c r="H403"/>
      <c r="I403" s="205"/>
      <c r="J403"/>
      <c r="K403"/>
      <c r="L403" s="205"/>
      <c r="M403" s="191"/>
      <c r="N403" s="205"/>
      <c r="O403" s="191"/>
      <c r="P403" s="191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1"/>
      <c r="F404" s="205"/>
      <c r="G404" s="205"/>
      <c r="H404"/>
      <c r="I404" s="205"/>
      <c r="J404"/>
      <c r="K404"/>
      <c r="L404" s="205"/>
      <c r="M404" s="191"/>
      <c r="N404" s="205"/>
      <c r="O404" s="191"/>
      <c r="P404" s="191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1"/>
      <c r="F405" s="205"/>
      <c r="G405" s="205"/>
      <c r="H405"/>
      <c r="I405" s="205"/>
      <c r="J405"/>
      <c r="K405"/>
      <c r="L405" s="205"/>
      <c r="M405" s="191"/>
      <c r="N405" s="205"/>
      <c r="O405" s="191"/>
      <c r="P405" s="191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1"/>
      <c r="F406" s="205"/>
      <c r="G406" s="205"/>
      <c r="H406"/>
      <c r="I406" s="205"/>
      <c r="J406"/>
      <c r="K406"/>
      <c r="L406" s="205"/>
      <c r="M406" s="191"/>
      <c r="N406" s="205"/>
      <c r="O406" s="191"/>
      <c r="P406" s="191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1"/>
      <c r="F407" s="205"/>
      <c r="G407" s="205"/>
      <c r="H407" s="205"/>
      <c r="I407" s="205"/>
      <c r="J407" s="205"/>
      <c r="K407" s="205"/>
      <c r="L407" s="205"/>
      <c r="M407" s="191"/>
      <c r="N407" s="205"/>
      <c r="O407" s="191"/>
      <c r="P407" s="191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0"/>
      <c r="BJ407" s="200"/>
      <c r="BK407" s="200"/>
      <c r="BL407" s="200"/>
      <c r="BM407" s="200"/>
      <c r="BN407" s="200"/>
      <c r="BO407" s="200"/>
      <c r="BP407" s="200"/>
      <c r="BQ407" s="200"/>
      <c r="BR407" s="200"/>
      <c r="BS407" s="200"/>
      <c r="BT407" s="200"/>
      <c r="BU407" s="200"/>
      <c r="BV407" s="200"/>
      <c r="BW407" s="200"/>
      <c r="BX407" s="200"/>
      <c r="BY407" s="200"/>
      <c r="BZ407" s="200"/>
      <c r="CA407" s="200"/>
      <c r="CB407" s="200"/>
      <c r="CC407" s="200"/>
      <c r="CD407" s="200"/>
      <c r="CE407" s="200"/>
      <c r="CF407" s="200"/>
      <c r="CG407" s="200"/>
      <c r="CH407" s="200"/>
      <c r="CI407" s="200"/>
      <c r="CJ407" s="200"/>
      <c r="CK407" s="200"/>
      <c r="CL407" s="200"/>
      <c r="CM407" s="200"/>
      <c r="CN407" s="200"/>
      <c r="CO407" s="200"/>
      <c r="CP407" s="200"/>
      <c r="CQ407" s="200"/>
      <c r="CR407" s="200"/>
      <c r="CS407" s="200"/>
      <c r="CT407" s="200"/>
      <c r="CU407" s="200"/>
      <c r="CV407" s="200"/>
    </row>
    <row r="408" spans="1:100" x14ac:dyDescent="0.2">
      <c r="A408" s="219"/>
      <c r="B408" s="219"/>
      <c r="C408" s="205"/>
      <c r="D408" s="205"/>
      <c r="E408" s="191"/>
      <c r="F408" s="205"/>
      <c r="G408" s="205"/>
      <c r="H408"/>
      <c r="I408" s="205"/>
      <c r="J408"/>
      <c r="K408"/>
      <c r="L408" s="205"/>
      <c r="M408" s="191"/>
      <c r="N408" s="205"/>
      <c r="O408" s="191"/>
      <c r="P408" s="191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1"/>
      <c r="F409" s="205"/>
      <c r="G409" s="205"/>
      <c r="H409"/>
      <c r="I409" s="205"/>
      <c r="J409"/>
      <c r="K409"/>
      <c r="L409" s="205"/>
      <c r="M409" s="191"/>
      <c r="N409" s="205"/>
      <c r="O409" s="191"/>
      <c r="P409" s="191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1"/>
      <c r="F410" s="205"/>
      <c r="G410" s="205"/>
      <c r="H410"/>
      <c r="I410" s="205"/>
      <c r="J410"/>
      <c r="K410"/>
      <c r="L410" s="205"/>
      <c r="M410" s="191"/>
      <c r="N410" s="205"/>
      <c r="O410" s="191"/>
      <c r="P410" s="191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1"/>
      <c r="F411" s="205"/>
      <c r="G411" s="205"/>
      <c r="H411" s="205"/>
      <c r="I411" s="205"/>
      <c r="J411"/>
      <c r="K411"/>
      <c r="L411" s="205"/>
      <c r="M411" s="191"/>
      <c r="N411" s="205"/>
      <c r="O411" s="191"/>
      <c r="P411" s="191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1"/>
      <c r="F412" s="205"/>
      <c r="G412" s="205"/>
      <c r="H412"/>
      <c r="I412" s="205"/>
      <c r="J412"/>
      <c r="K412"/>
      <c r="L412" s="205"/>
      <c r="M412" s="191"/>
      <c r="N412" s="205"/>
      <c r="O412" s="191"/>
      <c r="P412" s="191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1"/>
      <c r="F413" s="205"/>
      <c r="G413" s="205"/>
      <c r="H413" s="205"/>
      <c r="I413" s="205"/>
      <c r="J413" s="205"/>
      <c r="K413" s="205"/>
      <c r="L413" s="205"/>
      <c r="M413" s="191"/>
      <c r="N413" s="205"/>
      <c r="O413" s="191"/>
      <c r="P413" s="191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0"/>
      <c r="BJ413" s="200"/>
      <c r="BK413" s="200"/>
      <c r="BL413" s="200"/>
      <c r="BM413" s="200"/>
      <c r="BN413" s="200"/>
      <c r="BO413" s="200"/>
      <c r="BP413" s="200"/>
      <c r="BQ413" s="200"/>
      <c r="BR413" s="200"/>
      <c r="BS413" s="200"/>
      <c r="BT413" s="200"/>
      <c r="BU413" s="200"/>
      <c r="BV413" s="200"/>
      <c r="BW413" s="200"/>
      <c r="BX413" s="200"/>
      <c r="BY413" s="200"/>
      <c r="BZ413" s="200"/>
      <c r="CA413" s="200"/>
      <c r="CB413" s="200"/>
      <c r="CC413" s="200"/>
      <c r="CD413" s="200"/>
      <c r="CE413" s="200"/>
      <c r="CF413" s="200"/>
      <c r="CG413" s="200"/>
      <c r="CH413" s="200"/>
      <c r="CI413" s="200"/>
      <c r="CJ413" s="200"/>
      <c r="CK413" s="200"/>
      <c r="CL413" s="200"/>
      <c r="CM413" s="200"/>
      <c r="CN413" s="200"/>
      <c r="CO413" s="200"/>
      <c r="CP413" s="200"/>
      <c r="CQ413" s="200"/>
      <c r="CR413" s="200"/>
      <c r="CS413" s="200"/>
      <c r="CT413" s="200"/>
      <c r="CU413" s="200"/>
      <c r="CV413" s="200"/>
    </row>
    <row r="414" spans="1:100" x14ac:dyDescent="0.2">
      <c r="A414" s="219"/>
      <c r="B414" s="219"/>
      <c r="C414" s="205"/>
      <c r="D414" s="205"/>
      <c r="E414" s="191"/>
      <c r="F414" s="205"/>
      <c r="G414" s="205"/>
      <c r="H414"/>
      <c r="I414" s="205"/>
      <c r="J414"/>
      <c r="K414"/>
      <c r="L414" s="205"/>
      <c r="M414" s="191"/>
      <c r="N414" s="205"/>
      <c r="O414" s="191"/>
      <c r="P414" s="191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1"/>
      <c r="F415" s="205"/>
      <c r="G415" s="205"/>
      <c r="H415"/>
      <c r="I415" s="205"/>
      <c r="J415"/>
      <c r="K415"/>
      <c r="L415" s="205"/>
      <c r="M415" s="191"/>
      <c r="N415" s="205"/>
      <c r="O415" s="191"/>
      <c r="P415" s="191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1"/>
      <c r="F416" s="205"/>
      <c r="G416" s="205"/>
      <c r="H416" s="205"/>
      <c r="I416" s="205"/>
      <c r="J416"/>
      <c r="K416"/>
      <c r="L416" s="205"/>
      <c r="M416" s="191"/>
      <c r="N416" s="205"/>
      <c r="O416" s="191"/>
      <c r="P416" s="191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1"/>
      <c r="F417" s="205"/>
      <c r="G417" s="205"/>
      <c r="H417"/>
      <c r="I417" s="205"/>
      <c r="J417"/>
      <c r="K417"/>
      <c r="L417" s="205"/>
      <c r="M417" s="191"/>
      <c r="N417" s="205"/>
      <c r="O417" s="191"/>
      <c r="P417" s="191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1"/>
      <c r="F418" s="205"/>
      <c r="G418" s="205"/>
      <c r="H418"/>
      <c r="I418" s="205"/>
      <c r="J418"/>
      <c r="K418"/>
      <c r="L418" s="205"/>
      <c r="M418" s="191"/>
      <c r="N418" s="205"/>
      <c r="O418" s="191"/>
      <c r="P418" s="191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1"/>
      <c r="F419" s="205"/>
      <c r="G419" s="205"/>
      <c r="H419" s="205"/>
      <c r="I419" s="205"/>
      <c r="J419"/>
      <c r="K419"/>
      <c r="L419" s="205"/>
      <c r="M419" s="191"/>
      <c r="N419" s="205"/>
      <c r="O419" s="191"/>
      <c r="P419" s="191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1"/>
      <c r="F420" s="205"/>
      <c r="G420" s="205"/>
      <c r="H420"/>
      <c r="I420" s="205"/>
      <c r="J420"/>
      <c r="K420"/>
      <c r="L420" s="205"/>
      <c r="M420" s="191"/>
      <c r="N420" s="205"/>
      <c r="O420" s="191"/>
      <c r="P420" s="191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1"/>
      <c r="F421" s="205"/>
      <c r="G421" s="205"/>
      <c r="H421" s="205"/>
      <c r="I421" s="205"/>
      <c r="J421"/>
      <c r="K421"/>
      <c r="L421" s="205"/>
      <c r="M421" s="191"/>
      <c r="N421" s="205"/>
      <c r="O421" s="191"/>
      <c r="P421" s="191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1"/>
      <c r="F422" s="205"/>
      <c r="G422" s="205"/>
      <c r="H422"/>
      <c r="I422" s="205"/>
      <c r="J422"/>
      <c r="K422"/>
      <c r="L422" s="205"/>
      <c r="M422" s="191"/>
      <c r="N422" s="205"/>
      <c r="O422" s="191"/>
      <c r="P422" s="191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1"/>
      <c r="F423" s="205"/>
      <c r="G423"/>
      <c r="H423"/>
      <c r="I423" s="205"/>
      <c r="J423"/>
      <c r="K423"/>
      <c r="L423" s="205"/>
      <c r="M423" s="191"/>
      <c r="N423" s="205"/>
      <c r="O423" s="191"/>
      <c r="P423" s="191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1"/>
      <c r="F424" s="205"/>
      <c r="G424" s="205"/>
      <c r="H424"/>
      <c r="I424" s="205"/>
      <c r="J424"/>
      <c r="K424"/>
      <c r="L424" s="205"/>
      <c r="M424" s="191"/>
      <c r="N424" s="205"/>
      <c r="O424" s="191"/>
      <c r="P424" s="191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1"/>
      <c r="F425" s="205"/>
      <c r="G425" s="205"/>
      <c r="H425"/>
      <c r="I425" s="205"/>
      <c r="J425"/>
      <c r="K425"/>
      <c r="L425" s="205"/>
      <c r="M425" s="191"/>
      <c r="N425" s="205"/>
      <c r="O425" s="191"/>
      <c r="P425" s="191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1"/>
      <c r="F426" s="205"/>
      <c r="G426" s="205"/>
      <c r="H426"/>
      <c r="I426" s="205"/>
      <c r="J426"/>
      <c r="K426"/>
      <c r="L426" s="205"/>
      <c r="M426" s="191"/>
      <c r="N426" s="205"/>
      <c r="O426" s="191"/>
      <c r="P426" s="191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1"/>
      <c r="F427" s="205"/>
      <c r="G427" s="205"/>
      <c r="H427"/>
      <c r="I427" s="205"/>
      <c r="J427"/>
      <c r="K427"/>
      <c r="L427" s="205"/>
      <c r="M427" s="191"/>
      <c r="N427" s="205"/>
      <c r="O427" s="191"/>
      <c r="P427" s="191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1"/>
      <c r="F428" s="205"/>
      <c r="G428" s="205"/>
      <c r="H428"/>
      <c r="I428" s="205"/>
      <c r="J428"/>
      <c r="K428"/>
      <c r="L428" s="205"/>
      <c r="M428" s="191"/>
      <c r="N428" s="205"/>
      <c r="O428" s="191"/>
      <c r="P428" s="191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1"/>
      <c r="F429" s="205"/>
      <c r="G429" s="205"/>
      <c r="H429"/>
      <c r="I429" s="205"/>
      <c r="J429"/>
      <c r="K429"/>
      <c r="L429" s="205"/>
      <c r="M429" s="191"/>
      <c r="N429" s="205"/>
      <c r="O429" s="191"/>
      <c r="P429" s="191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1"/>
      <c r="F430" s="205"/>
      <c r="G430" s="205"/>
      <c r="H430"/>
      <c r="I430" s="205"/>
      <c r="J430"/>
      <c r="K430"/>
      <c r="L430" s="205"/>
      <c r="M430" s="191"/>
      <c r="N430" s="205"/>
      <c r="O430" s="191"/>
      <c r="P430" s="191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1"/>
      <c r="F431" s="205"/>
      <c r="G431" s="205"/>
      <c r="H431"/>
      <c r="I431" s="205"/>
      <c r="J431"/>
      <c r="K431"/>
      <c r="L431" s="205"/>
      <c r="M431" s="191"/>
      <c r="N431" s="205"/>
      <c r="O431" s="191"/>
      <c r="P431" s="191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1"/>
      <c r="F432" s="205"/>
      <c r="G432" s="205"/>
      <c r="H432" s="205"/>
      <c r="I432" s="205"/>
      <c r="J432" s="205"/>
      <c r="K432" s="205"/>
      <c r="L432" s="205"/>
      <c r="M432" s="191"/>
      <c r="N432" s="205"/>
      <c r="O432" s="191"/>
      <c r="P432" s="191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0"/>
      <c r="BJ432" s="200"/>
      <c r="BK432" s="200"/>
      <c r="BL432" s="200"/>
      <c r="BM432" s="200"/>
      <c r="BN432" s="200"/>
      <c r="BO432" s="200"/>
      <c r="BP432" s="200"/>
      <c r="BQ432" s="200"/>
      <c r="BR432" s="200"/>
      <c r="BS432" s="200"/>
      <c r="BT432" s="200"/>
      <c r="BU432" s="200"/>
      <c r="BV432" s="200"/>
      <c r="BW432" s="200"/>
      <c r="BX432" s="200"/>
      <c r="BY432" s="200"/>
      <c r="BZ432" s="200"/>
      <c r="CA432" s="200"/>
      <c r="CB432" s="200"/>
      <c r="CC432" s="200"/>
      <c r="CD432" s="200"/>
      <c r="CE432" s="200"/>
      <c r="CF432" s="200"/>
      <c r="CG432" s="200"/>
      <c r="CH432" s="200"/>
      <c r="CI432" s="200"/>
      <c r="CJ432" s="200"/>
      <c r="CK432" s="200"/>
      <c r="CL432" s="200"/>
      <c r="CM432" s="200"/>
      <c r="CN432" s="200"/>
      <c r="CO432" s="200"/>
      <c r="CP432" s="200"/>
      <c r="CQ432" s="200"/>
      <c r="CR432" s="200"/>
      <c r="CS432" s="200"/>
      <c r="CT432" s="200"/>
      <c r="CU432" s="200"/>
      <c r="CV432" s="200"/>
    </row>
    <row r="433" spans="1:58" x14ac:dyDescent="0.2">
      <c r="A433" s="219"/>
      <c r="B433" s="219"/>
      <c r="C433" s="205"/>
      <c r="D433" s="205"/>
      <c r="E433" s="191"/>
      <c r="F433" s="205"/>
      <c r="G433" s="205"/>
      <c r="H433"/>
      <c r="I433" s="205"/>
      <c r="J433"/>
      <c r="K433"/>
      <c r="L433" s="205"/>
      <c r="M433" s="191"/>
      <c r="N433" s="205"/>
      <c r="O433" s="191"/>
      <c r="P433" s="191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1"/>
      <c r="F434" s="205"/>
      <c r="G434" s="205"/>
      <c r="H434"/>
      <c r="I434" s="205"/>
      <c r="J434"/>
      <c r="K434"/>
      <c r="L434" s="205"/>
      <c r="M434" s="191"/>
      <c r="N434" s="205"/>
      <c r="O434" s="191"/>
      <c r="P434" s="191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1"/>
      <c r="F435" s="205"/>
      <c r="G435" s="205"/>
      <c r="H435"/>
      <c r="I435" s="205"/>
      <c r="J435"/>
      <c r="K435"/>
      <c r="L435" s="205"/>
      <c r="M435" s="191"/>
      <c r="N435" s="205"/>
      <c r="O435" s="191"/>
      <c r="P435" s="191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1"/>
      <c r="F436" s="205"/>
      <c r="G436" s="205"/>
      <c r="H436"/>
      <c r="I436" s="205"/>
      <c r="J436"/>
      <c r="K436"/>
      <c r="L436" s="205"/>
      <c r="M436" s="191"/>
      <c r="N436" s="205"/>
      <c r="O436" s="191"/>
      <c r="P436" s="191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1"/>
      <c r="F437" s="205"/>
      <c r="G437" s="205"/>
      <c r="H437"/>
      <c r="I437" s="205"/>
      <c r="J437"/>
      <c r="K437"/>
      <c r="L437" s="205"/>
      <c r="M437" s="191"/>
      <c r="N437" s="205"/>
      <c r="O437" s="191"/>
      <c r="P437" s="191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1"/>
      <c r="F438" s="205"/>
      <c r="G438" s="205"/>
      <c r="H438"/>
      <c r="I438" s="205"/>
      <c r="J438"/>
      <c r="K438"/>
      <c r="L438" s="205"/>
      <c r="M438" s="191"/>
      <c r="N438" s="205"/>
      <c r="O438" s="191"/>
      <c r="P438" s="191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1"/>
      <c r="F439" s="205"/>
      <c r="G439"/>
      <c r="H439"/>
      <c r="I439" s="205"/>
      <c r="J439"/>
      <c r="K439"/>
      <c r="L439" s="205"/>
      <c r="M439" s="191"/>
      <c r="N439" s="205"/>
      <c r="O439" s="191"/>
      <c r="P439" s="191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1"/>
      <c r="F440" s="205"/>
      <c r="G440" s="205"/>
      <c r="H440"/>
      <c r="I440" s="205"/>
      <c r="J440"/>
      <c r="K440"/>
      <c r="L440" s="205"/>
      <c r="M440" s="191"/>
      <c r="N440" s="205"/>
      <c r="O440" s="191"/>
      <c r="P440" s="191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1"/>
      <c r="F441" s="205"/>
      <c r="G441" s="205"/>
      <c r="H441"/>
      <c r="I441" s="205"/>
      <c r="J441"/>
      <c r="K441"/>
      <c r="L441" s="205"/>
      <c r="M441" s="191"/>
      <c r="N441" s="205"/>
      <c r="O441" s="191"/>
      <c r="P441" s="191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1"/>
      <c r="F442" s="205"/>
      <c r="G442" s="205"/>
      <c r="H442"/>
      <c r="I442" s="205"/>
      <c r="J442"/>
      <c r="K442"/>
      <c r="L442" s="205"/>
      <c r="M442" s="191"/>
      <c r="N442" s="205"/>
      <c r="O442" s="191"/>
      <c r="P442" s="191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1"/>
      <c r="F443" s="205"/>
      <c r="G443" s="205"/>
      <c r="H443"/>
      <c r="I443" s="205"/>
      <c r="J443"/>
      <c r="K443"/>
      <c r="L443" s="205"/>
      <c r="M443" s="191"/>
      <c r="N443" s="205"/>
      <c r="O443" s="191"/>
      <c r="P443" s="191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1"/>
      <c r="F444" s="205"/>
      <c r="G444" s="205"/>
      <c r="H444"/>
      <c r="I444" s="205"/>
      <c r="J444"/>
      <c r="K444"/>
      <c r="L444" s="205"/>
      <c r="M444" s="191"/>
      <c r="N444" s="205"/>
      <c r="O444" s="191"/>
      <c r="P444" s="191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1"/>
      <c r="F445" s="205"/>
      <c r="G445" s="205"/>
      <c r="H445"/>
      <c r="I445" s="205"/>
      <c r="J445"/>
      <c r="K445"/>
      <c r="L445" s="205"/>
      <c r="M445" s="191"/>
      <c r="N445" s="205"/>
      <c r="O445" s="191"/>
      <c r="P445" s="191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1"/>
      <c r="F446" s="205"/>
      <c r="G446" s="205"/>
      <c r="H446"/>
      <c r="I446" s="205"/>
      <c r="J446"/>
      <c r="K446"/>
      <c r="L446" s="205"/>
      <c r="M446" s="191"/>
      <c r="N446" s="205"/>
      <c r="O446" s="191"/>
      <c r="P446" s="191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1"/>
      <c r="F447" s="205"/>
      <c r="G447" s="205"/>
      <c r="H447"/>
      <c r="I447" s="205"/>
      <c r="J447"/>
      <c r="K447"/>
      <c r="L447" s="205"/>
      <c r="M447" s="191"/>
      <c r="N447" s="205"/>
      <c r="O447" s="191"/>
      <c r="P447" s="191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1"/>
      <c r="F448" s="205"/>
      <c r="G448" s="205"/>
      <c r="H448"/>
      <c r="I448" s="205"/>
      <c r="J448"/>
      <c r="K448"/>
      <c r="L448" s="205"/>
      <c r="M448" s="191"/>
      <c r="N448" s="205"/>
      <c r="O448" s="191"/>
      <c r="P448" s="191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1"/>
      <c r="F449" s="205"/>
      <c r="G449" s="205"/>
      <c r="H449"/>
      <c r="I449" s="205"/>
      <c r="J449"/>
      <c r="K449"/>
      <c r="L449" s="205"/>
      <c r="M449" s="191"/>
      <c r="N449" s="205"/>
      <c r="O449" s="191"/>
      <c r="P449" s="191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1"/>
      <c r="F450" s="205"/>
      <c r="G450"/>
      <c r="H450"/>
      <c r="I450" s="205"/>
      <c r="J450"/>
      <c r="K450"/>
      <c r="L450" s="205"/>
      <c r="M450" s="191"/>
      <c r="N450" s="205"/>
      <c r="O450" s="191"/>
      <c r="P450" s="191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1"/>
      <c r="F451" s="205"/>
      <c r="G451" s="205"/>
      <c r="H451" s="205"/>
      <c r="I451" s="205"/>
      <c r="J451"/>
      <c r="K451"/>
      <c r="L451" s="205"/>
      <c r="M451" s="191"/>
      <c r="N451" s="205"/>
      <c r="O451" s="191"/>
      <c r="P451" s="191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1"/>
      <c r="F452" s="205"/>
      <c r="G452" s="205"/>
      <c r="H452"/>
      <c r="I452" s="205"/>
      <c r="J452"/>
      <c r="K452"/>
      <c r="L452" s="205"/>
      <c r="M452" s="191"/>
      <c r="N452" s="205"/>
      <c r="O452" s="191"/>
      <c r="P452" s="191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1"/>
      <c r="F453" s="205"/>
      <c r="G453" s="205"/>
      <c r="H453"/>
      <c r="I453" s="205"/>
      <c r="J453"/>
      <c r="K453"/>
      <c r="L453" s="205"/>
      <c r="M453" s="191"/>
      <c r="N453" s="205"/>
      <c r="O453" s="191"/>
      <c r="P453" s="191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1"/>
      <c r="F454" s="205"/>
      <c r="G454" s="205"/>
      <c r="H454"/>
      <c r="I454" s="205"/>
      <c r="J454"/>
      <c r="K454"/>
      <c r="L454" s="205"/>
      <c r="M454" s="191"/>
      <c r="N454" s="205"/>
      <c r="O454" s="191"/>
      <c r="P454" s="191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1"/>
      <c r="F455" s="205"/>
      <c r="G455" s="205"/>
      <c r="H455" s="205"/>
      <c r="I455" s="205"/>
      <c r="J455" s="205"/>
      <c r="K455" s="205"/>
      <c r="L455" s="205"/>
      <c r="M455" s="191"/>
      <c r="N455" s="205"/>
      <c r="O455" s="191"/>
      <c r="P455" s="191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0"/>
      <c r="BJ455" s="200"/>
      <c r="BK455" s="200"/>
      <c r="BL455" s="200"/>
      <c r="BM455" s="200"/>
      <c r="BN455" s="200"/>
      <c r="BO455" s="200"/>
      <c r="BP455" s="200"/>
      <c r="BQ455" s="200"/>
      <c r="BR455" s="200"/>
      <c r="BS455" s="200"/>
      <c r="BT455" s="200"/>
      <c r="BU455" s="200"/>
      <c r="BV455" s="200"/>
      <c r="BW455" s="200"/>
      <c r="BX455" s="200"/>
      <c r="BY455" s="200"/>
      <c r="BZ455" s="200"/>
      <c r="CA455" s="200"/>
      <c r="CB455" s="200"/>
      <c r="CC455" s="200"/>
      <c r="CD455" s="200"/>
      <c r="CE455" s="200"/>
      <c r="CF455" s="200"/>
      <c r="CG455" s="200"/>
      <c r="CH455" s="200"/>
      <c r="CI455" s="200"/>
      <c r="CJ455" s="200"/>
      <c r="CK455" s="200"/>
      <c r="CL455" s="200"/>
      <c r="CM455" s="200"/>
      <c r="CN455" s="200"/>
      <c r="CO455" s="200"/>
      <c r="CP455" s="200"/>
      <c r="CQ455" s="200"/>
      <c r="CR455" s="200"/>
      <c r="CS455" s="200"/>
      <c r="CT455" s="200"/>
      <c r="CU455" s="200"/>
      <c r="CV455" s="200"/>
    </row>
    <row r="456" spans="1:100" x14ac:dyDescent="0.2">
      <c r="A456" s="219"/>
      <c r="B456" s="219"/>
      <c r="C456" s="205"/>
      <c r="D456" s="205"/>
      <c r="E456" s="191"/>
      <c r="F456" s="205"/>
      <c r="G456" s="205"/>
      <c r="H456"/>
      <c r="I456" s="205"/>
      <c r="J456"/>
      <c r="K456"/>
      <c r="L456" s="205"/>
      <c r="M456" s="191"/>
      <c r="N456" s="205"/>
      <c r="O456" s="191"/>
      <c r="P456" s="191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1"/>
      <c r="F457" s="205"/>
      <c r="G457" s="205"/>
      <c r="H457"/>
      <c r="I457" s="205"/>
      <c r="J457"/>
      <c r="K457"/>
      <c r="L457" s="205"/>
      <c r="M457" s="191"/>
      <c r="N457" s="205"/>
      <c r="O457" s="191"/>
      <c r="P457" s="191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1"/>
      <c r="F458" s="205"/>
      <c r="G458" s="205"/>
      <c r="H458"/>
      <c r="I458" s="205"/>
      <c r="J458"/>
      <c r="K458"/>
      <c r="L458" s="205"/>
      <c r="M458" s="191"/>
      <c r="N458" s="205"/>
      <c r="O458" s="191"/>
      <c r="P458" s="191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1"/>
      <c r="F459" s="205"/>
      <c r="G459" s="205"/>
      <c r="H459"/>
      <c r="I459" s="205"/>
      <c r="J459"/>
      <c r="K459"/>
      <c r="L459" s="205"/>
      <c r="M459" s="191"/>
      <c r="N459" s="205"/>
      <c r="O459" s="191"/>
      <c r="P459" s="191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1"/>
      <c r="F460" s="205"/>
      <c r="G460" s="205"/>
      <c r="H460"/>
      <c r="I460" s="205"/>
      <c r="J460"/>
      <c r="K460"/>
      <c r="L460" s="205"/>
      <c r="M460" s="191"/>
      <c r="N460" s="205"/>
      <c r="O460" s="191"/>
      <c r="P460" s="191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1"/>
      <c r="F461" s="205"/>
      <c r="G461"/>
      <c r="H461"/>
      <c r="I461" s="205"/>
      <c r="J461"/>
      <c r="K461"/>
      <c r="L461" s="205"/>
      <c r="M461" s="191"/>
      <c r="N461" s="205"/>
      <c r="O461" s="191"/>
      <c r="P461" s="191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1"/>
      <c r="F462" s="205"/>
      <c r="G462" s="205"/>
      <c r="H462"/>
      <c r="I462" s="205"/>
      <c r="J462"/>
      <c r="K462"/>
      <c r="L462" s="205"/>
      <c r="M462" s="191"/>
      <c r="N462" s="205"/>
      <c r="O462" s="191"/>
      <c r="P462" s="191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1"/>
      <c r="F463" s="205"/>
      <c r="G463"/>
      <c r="H463"/>
      <c r="I463" s="205"/>
      <c r="J463"/>
      <c r="K463"/>
      <c r="L463" s="205"/>
      <c r="M463" s="191"/>
      <c r="N463" s="205"/>
      <c r="O463" s="191"/>
      <c r="P463" s="191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1"/>
      <c r="F464" s="205"/>
      <c r="G464" s="205"/>
      <c r="H464"/>
      <c r="I464" s="205"/>
      <c r="J464"/>
      <c r="K464"/>
      <c r="L464" s="205"/>
      <c r="M464" s="191"/>
      <c r="N464" s="205"/>
      <c r="O464" s="191"/>
      <c r="P464" s="191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1"/>
      <c r="F465" s="205"/>
      <c r="G465" s="205"/>
      <c r="H465"/>
      <c r="I465" s="205"/>
      <c r="J465"/>
      <c r="K465"/>
      <c r="L465" s="205"/>
      <c r="M465" s="191"/>
      <c r="N465" s="205"/>
      <c r="O465" s="191"/>
      <c r="P465" s="191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1"/>
      <c r="F466" s="205"/>
      <c r="G466" s="205"/>
      <c r="H466"/>
      <c r="I466" s="205"/>
      <c r="J466"/>
      <c r="K466"/>
      <c r="L466" s="205"/>
      <c r="M466" s="191"/>
      <c r="N466" s="205"/>
      <c r="O466" s="191"/>
      <c r="P466" s="191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1"/>
      <c r="F467" s="205"/>
      <c r="G467" s="205"/>
      <c r="H467" s="205"/>
      <c r="I467" s="205"/>
      <c r="J467"/>
      <c r="K467"/>
      <c r="L467" s="205"/>
      <c r="M467" s="191"/>
      <c r="N467" s="205"/>
      <c r="O467" s="191"/>
      <c r="P467" s="191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1"/>
      <c r="F468" s="205"/>
      <c r="G468" s="205"/>
      <c r="H468"/>
      <c r="I468" s="205"/>
      <c r="J468"/>
      <c r="K468"/>
      <c r="L468" s="205"/>
      <c r="M468" s="191"/>
      <c r="N468" s="205"/>
      <c r="O468" s="191"/>
      <c r="P468" s="191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1"/>
      <c r="F469" s="205"/>
      <c r="G469" s="205"/>
      <c r="H469"/>
      <c r="I469" s="205"/>
      <c r="J469"/>
      <c r="K469"/>
      <c r="L469" s="205"/>
      <c r="M469" s="191"/>
      <c r="N469" s="205"/>
      <c r="O469" s="191"/>
      <c r="P469" s="191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1"/>
      <c r="F470" s="205"/>
      <c r="G470" s="205"/>
      <c r="H470"/>
      <c r="I470" s="205"/>
      <c r="J470"/>
      <c r="K470"/>
      <c r="L470" s="205"/>
      <c r="M470" s="191"/>
      <c r="N470" s="205"/>
      <c r="O470" s="191"/>
      <c r="P470" s="191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1"/>
      <c r="F471" s="205"/>
      <c r="G471" s="205"/>
      <c r="H471"/>
      <c r="I471" s="205"/>
      <c r="J471"/>
      <c r="K471"/>
      <c r="L471" s="205"/>
      <c r="M471" s="191"/>
      <c r="N471" s="205"/>
      <c r="O471" s="191"/>
      <c r="P471" s="191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1"/>
      <c r="F472" s="205"/>
      <c r="G472" s="205"/>
      <c r="H472"/>
      <c r="I472" s="205"/>
      <c r="J472"/>
      <c r="K472"/>
      <c r="L472" s="205"/>
      <c r="M472" s="191"/>
      <c r="N472" s="205"/>
      <c r="O472" s="191"/>
      <c r="P472" s="191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1"/>
      <c r="F473" s="205"/>
      <c r="G473" s="205"/>
      <c r="H473" s="205"/>
      <c r="I473" s="205"/>
      <c r="J473" s="205"/>
      <c r="K473" s="205"/>
      <c r="L473" s="205"/>
      <c r="M473" s="191"/>
      <c r="N473" s="205"/>
      <c r="O473" s="191"/>
      <c r="P473" s="191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0"/>
      <c r="BH473" s="200"/>
      <c r="BJ473" s="200"/>
      <c r="BK473" s="200"/>
      <c r="BL473" s="200"/>
      <c r="BM473" s="200"/>
      <c r="BN473" s="200"/>
      <c r="BO473" s="200"/>
      <c r="BP473" s="200"/>
      <c r="BQ473" s="200"/>
      <c r="BR473" s="200"/>
      <c r="BS473" s="200"/>
      <c r="BT473" s="200"/>
      <c r="BU473" s="200"/>
      <c r="BV473" s="200"/>
      <c r="BW473" s="200"/>
      <c r="BX473" s="200"/>
      <c r="BY473" s="200"/>
      <c r="BZ473" s="200"/>
      <c r="CA473" s="200"/>
      <c r="CB473" s="200"/>
      <c r="CC473" s="200"/>
      <c r="CD473" s="200"/>
      <c r="CE473" s="200"/>
      <c r="CF473" s="200"/>
      <c r="CG473" s="200"/>
      <c r="CH473" s="200"/>
      <c r="CI473" s="200"/>
      <c r="CJ473" s="200"/>
      <c r="CK473" s="200"/>
      <c r="CL473" s="200"/>
      <c r="CM473" s="200"/>
      <c r="CN473" s="200"/>
      <c r="CO473" s="200"/>
      <c r="CP473" s="200"/>
      <c r="CQ473" s="200"/>
      <c r="CR473" s="200"/>
      <c r="CS473" s="200"/>
      <c r="CT473" s="200"/>
      <c r="CU473" s="200"/>
      <c r="CV473" s="200"/>
    </row>
    <row r="474" spans="1:100" x14ac:dyDescent="0.2">
      <c r="A474" s="219"/>
      <c r="B474" s="219"/>
      <c r="C474" s="205"/>
      <c r="D474" s="205"/>
      <c r="E474" s="191"/>
      <c r="F474" s="205"/>
      <c r="G474"/>
      <c r="H474"/>
      <c r="I474" s="205"/>
      <c r="J474"/>
      <c r="K474"/>
      <c r="L474" s="205"/>
      <c r="M474" s="191"/>
      <c r="N474" s="205"/>
      <c r="O474" s="191"/>
      <c r="P474" s="191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1"/>
      <c r="F475" s="205"/>
      <c r="G475" s="205"/>
      <c r="H475"/>
      <c r="I475" s="205"/>
      <c r="J475"/>
      <c r="K475"/>
      <c r="L475" s="205"/>
      <c r="M475" s="191"/>
      <c r="N475" s="205"/>
      <c r="O475" s="191"/>
      <c r="P475" s="191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1"/>
      <c r="F476" s="205"/>
      <c r="G476" s="205"/>
      <c r="H476"/>
      <c r="I476" s="205"/>
      <c r="J476"/>
      <c r="K476"/>
      <c r="L476" s="205"/>
      <c r="M476" s="191"/>
      <c r="N476" s="205"/>
      <c r="O476" s="191"/>
      <c r="P476" s="191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1"/>
      <c r="F477" s="205"/>
      <c r="G477" s="205"/>
      <c r="H477"/>
      <c r="I477" s="205"/>
      <c r="J477"/>
      <c r="K477"/>
      <c r="L477" s="205"/>
      <c r="M477" s="191"/>
      <c r="N477" s="205"/>
      <c r="O477" s="191"/>
      <c r="P477" s="191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1"/>
      <c r="F478" s="205"/>
      <c r="G478" s="205"/>
      <c r="H478"/>
      <c r="I478" s="205"/>
      <c r="J478"/>
      <c r="K478"/>
      <c r="L478" s="205"/>
      <c r="M478" s="191"/>
      <c r="N478" s="205"/>
      <c r="O478" s="191"/>
      <c r="P478" s="191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1"/>
      <c r="F479" s="205"/>
      <c r="G479"/>
      <c r="H479"/>
      <c r="I479" s="205"/>
      <c r="J479"/>
      <c r="K479"/>
      <c r="L479" s="205"/>
      <c r="M479" s="191"/>
      <c r="N479" s="205"/>
      <c r="O479" s="191"/>
      <c r="P479" s="191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1"/>
      <c r="F480" s="205"/>
      <c r="G480" s="205"/>
      <c r="H480"/>
      <c r="I480" s="205"/>
      <c r="J480"/>
      <c r="K480"/>
      <c r="L480" s="205"/>
      <c r="M480" s="191"/>
      <c r="N480" s="205"/>
      <c r="O480" s="191"/>
      <c r="P480" s="191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1"/>
      <c r="F481" s="205"/>
      <c r="G481" s="205"/>
      <c r="H481"/>
      <c r="I481" s="205"/>
      <c r="J481"/>
      <c r="K481"/>
      <c r="L481" s="205"/>
      <c r="M481" s="191"/>
      <c r="N481" s="205"/>
      <c r="O481" s="191"/>
      <c r="P481" s="191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1"/>
      <c r="F482" s="205"/>
      <c r="G482" s="205"/>
      <c r="H482"/>
      <c r="I482" s="205"/>
      <c r="J482"/>
      <c r="K482"/>
      <c r="L482" s="205"/>
      <c r="M482" s="191"/>
      <c r="N482" s="205"/>
      <c r="O482" s="191"/>
      <c r="P482" s="191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1"/>
      <c r="F483" s="205"/>
      <c r="G483" s="205"/>
      <c r="H483"/>
      <c r="I483" s="205"/>
      <c r="J483"/>
      <c r="K483"/>
      <c r="L483" s="205"/>
      <c r="M483" s="191"/>
      <c r="N483" s="205"/>
      <c r="O483" s="191"/>
      <c r="P483" s="191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1"/>
      <c r="F484" s="205"/>
      <c r="G484" s="205"/>
      <c r="H484" s="205"/>
      <c r="I484" s="205"/>
      <c r="J484"/>
      <c r="K484"/>
      <c r="L484" s="205"/>
      <c r="M484" s="191"/>
      <c r="N484" s="205"/>
      <c r="O484" s="191"/>
      <c r="P484" s="191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1"/>
      <c r="F485" s="205"/>
      <c r="G485" s="205"/>
      <c r="H485"/>
      <c r="I485" s="205"/>
      <c r="J485"/>
      <c r="K485"/>
      <c r="L485" s="205"/>
      <c r="M485" s="191"/>
      <c r="N485" s="205"/>
      <c r="O485" s="191"/>
      <c r="P485" s="191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1"/>
      <c r="F486" s="205"/>
      <c r="G486" s="205"/>
      <c r="H486"/>
      <c r="I486" s="205"/>
      <c r="J486"/>
      <c r="K486"/>
      <c r="L486" s="205"/>
      <c r="M486" s="191"/>
      <c r="N486" s="205"/>
      <c r="O486" s="191"/>
      <c r="P486" s="191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1"/>
      <c r="F487" s="205"/>
      <c r="G487" s="205"/>
      <c r="H487"/>
      <c r="I487" s="205"/>
      <c r="J487"/>
      <c r="K487"/>
      <c r="L487" s="205"/>
      <c r="M487" s="191"/>
      <c r="N487" s="205"/>
      <c r="O487" s="191"/>
      <c r="P487" s="191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1"/>
      <c r="F488" s="205"/>
      <c r="G488" s="205"/>
      <c r="H488"/>
      <c r="I488" s="205"/>
      <c r="J488"/>
      <c r="K488"/>
      <c r="L488" s="205"/>
      <c r="M488" s="191"/>
      <c r="N488" s="205"/>
      <c r="O488" s="191"/>
      <c r="P488" s="191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1"/>
      <c r="F489" s="205"/>
      <c r="G489" s="205"/>
      <c r="H489" s="205"/>
      <c r="I489" s="205"/>
      <c r="J489" s="205"/>
      <c r="K489" s="205"/>
      <c r="L489" s="205"/>
      <c r="M489" s="191"/>
      <c r="N489" s="205"/>
      <c r="O489" s="191"/>
      <c r="P489" s="191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0"/>
      <c r="BJ489" s="200"/>
      <c r="BK489" s="200"/>
      <c r="BL489" s="200"/>
      <c r="BM489" s="200"/>
      <c r="BN489" s="200"/>
      <c r="BO489" s="200"/>
      <c r="BP489" s="200"/>
      <c r="BQ489" s="200"/>
      <c r="BR489" s="200"/>
      <c r="BS489" s="200"/>
      <c r="BT489" s="200"/>
      <c r="BU489" s="200"/>
      <c r="BV489" s="200"/>
      <c r="BW489" s="200"/>
      <c r="BX489" s="200"/>
      <c r="BY489" s="200"/>
      <c r="BZ489" s="200"/>
      <c r="CA489" s="200"/>
      <c r="CB489" s="200"/>
      <c r="CC489" s="200"/>
      <c r="CD489" s="200"/>
      <c r="CE489" s="200"/>
      <c r="CF489" s="200"/>
      <c r="CG489" s="200"/>
      <c r="CH489" s="200"/>
      <c r="CI489" s="200"/>
      <c r="CJ489" s="200"/>
      <c r="CK489" s="200"/>
      <c r="CL489" s="200"/>
      <c r="CM489" s="200"/>
      <c r="CN489" s="200"/>
      <c r="CO489" s="200"/>
      <c r="CP489" s="200"/>
      <c r="CQ489" s="200"/>
      <c r="CR489" s="200"/>
      <c r="CS489" s="200"/>
      <c r="CT489" s="200"/>
      <c r="CU489" s="200"/>
      <c r="CV489" s="200"/>
    </row>
    <row r="490" spans="1:100" x14ac:dyDescent="0.2">
      <c r="A490" s="219"/>
      <c r="B490" s="219"/>
      <c r="C490" s="205"/>
      <c r="D490" s="205"/>
      <c r="E490" s="191"/>
      <c r="F490" s="205"/>
      <c r="G490" s="205"/>
      <c r="H490" s="205"/>
      <c r="I490" s="205"/>
      <c r="J490" s="205"/>
      <c r="K490" s="205"/>
      <c r="L490" s="205"/>
      <c r="M490" s="191"/>
      <c r="N490" s="205"/>
      <c r="O490" s="191"/>
      <c r="P490" s="191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0"/>
      <c r="BJ490" s="200"/>
      <c r="BK490" s="200"/>
      <c r="BL490" s="200"/>
      <c r="BM490" s="200"/>
      <c r="BN490" s="200"/>
      <c r="BO490" s="200"/>
      <c r="BP490" s="200"/>
      <c r="BQ490" s="200"/>
      <c r="BR490" s="200"/>
      <c r="BS490" s="200"/>
      <c r="BT490" s="200"/>
      <c r="BU490" s="200"/>
      <c r="BV490" s="200"/>
      <c r="BW490" s="200"/>
      <c r="BX490" s="200"/>
      <c r="BY490" s="200"/>
      <c r="BZ490" s="200"/>
      <c r="CA490" s="200"/>
      <c r="CB490" s="200"/>
      <c r="CC490" s="200"/>
      <c r="CD490" s="200"/>
      <c r="CE490" s="200"/>
      <c r="CF490" s="200"/>
      <c r="CG490" s="200"/>
      <c r="CH490" s="200"/>
      <c r="CI490" s="200"/>
      <c r="CJ490" s="200"/>
      <c r="CK490" s="200"/>
      <c r="CL490" s="200"/>
      <c r="CM490" s="200"/>
      <c r="CN490" s="200"/>
      <c r="CO490" s="200"/>
      <c r="CP490" s="200"/>
      <c r="CQ490" s="200"/>
      <c r="CR490" s="200"/>
      <c r="CS490" s="200"/>
      <c r="CT490" s="200"/>
      <c r="CU490" s="200"/>
      <c r="CV490" s="200"/>
    </row>
    <row r="491" spans="1:100" x14ac:dyDescent="0.2">
      <c r="A491" s="219"/>
      <c r="B491" s="219"/>
      <c r="C491" s="205"/>
      <c r="D491" s="205"/>
      <c r="E491" s="191"/>
      <c r="F491" s="205"/>
      <c r="G491" s="205"/>
      <c r="H491"/>
      <c r="I491" s="205"/>
      <c r="J491"/>
      <c r="K491"/>
      <c r="L491" s="205"/>
      <c r="M491" s="191"/>
      <c r="N491" s="205"/>
      <c r="O491" s="191"/>
      <c r="P491" s="191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1"/>
      <c r="F492" s="205"/>
      <c r="G492" s="205"/>
      <c r="H492"/>
      <c r="I492" s="205"/>
      <c r="J492"/>
      <c r="K492"/>
      <c r="L492" s="205"/>
      <c r="M492" s="191"/>
      <c r="N492" s="205"/>
      <c r="O492" s="191"/>
      <c r="P492" s="191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1"/>
      <c r="F493" s="205"/>
      <c r="G493" s="205"/>
      <c r="H493"/>
      <c r="I493" s="205"/>
      <c r="J493"/>
      <c r="K493"/>
      <c r="L493" s="205"/>
      <c r="M493" s="191"/>
      <c r="N493" s="205"/>
      <c r="O493" s="191"/>
      <c r="P493" s="191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1"/>
      <c r="F494" s="205"/>
      <c r="G494" s="205"/>
      <c r="H494"/>
      <c r="I494" s="205"/>
      <c r="J494"/>
      <c r="K494"/>
      <c r="L494" s="205"/>
      <c r="M494" s="191"/>
      <c r="N494" s="205"/>
      <c r="O494" s="191"/>
      <c r="P494" s="191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1"/>
      <c r="F495" s="205"/>
      <c r="G495" s="205"/>
      <c r="H495" s="205"/>
      <c r="I495" s="205"/>
      <c r="J495"/>
      <c r="K495"/>
      <c r="L495" s="205"/>
      <c r="M495" s="191"/>
      <c r="N495" s="205"/>
      <c r="O495" s="191"/>
      <c r="P495" s="191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1"/>
      <c r="F496" s="205"/>
      <c r="G496" s="205"/>
      <c r="H496"/>
      <c r="I496" s="205"/>
      <c r="J496"/>
      <c r="K496"/>
      <c r="L496" s="205"/>
      <c r="M496" s="191"/>
      <c r="N496" s="205"/>
      <c r="O496" s="191"/>
      <c r="P496" s="191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1"/>
      <c r="F497" s="205"/>
      <c r="G497" s="205"/>
      <c r="H497"/>
      <c r="I497" s="205"/>
      <c r="J497"/>
      <c r="K497"/>
      <c r="L497" s="205"/>
      <c r="M497" s="191"/>
      <c r="N497" s="205"/>
      <c r="O497" s="191"/>
      <c r="P497" s="191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1"/>
      <c r="F498" s="205"/>
      <c r="G498" s="205"/>
      <c r="H498"/>
      <c r="I498" s="205"/>
      <c r="J498"/>
      <c r="K498"/>
      <c r="L498" s="205"/>
      <c r="M498" s="191"/>
      <c r="N498" s="205"/>
      <c r="O498" s="191"/>
      <c r="P498" s="191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1"/>
      <c r="F499" s="205"/>
      <c r="G499" s="205"/>
      <c r="H499"/>
      <c r="I499" s="205"/>
      <c r="J499"/>
      <c r="K499"/>
      <c r="L499" s="205"/>
      <c r="M499" s="191"/>
      <c r="N499" s="205"/>
      <c r="O499" s="191"/>
      <c r="P499" s="191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1"/>
      <c r="F500" s="205"/>
      <c r="G500" s="205"/>
      <c r="H500"/>
      <c r="I500" s="205"/>
      <c r="J500"/>
      <c r="K500"/>
      <c r="L500" s="205"/>
      <c r="M500" s="191"/>
      <c r="N500" s="205"/>
      <c r="O500" s="191"/>
      <c r="P500" s="191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1"/>
      <c r="F501" s="205"/>
      <c r="G501" s="205"/>
      <c r="H501"/>
      <c r="I501" s="205"/>
      <c r="J501"/>
      <c r="K501"/>
      <c r="L501" s="205"/>
      <c r="M501" s="191"/>
      <c r="N501" s="205"/>
      <c r="O501" s="191"/>
      <c r="P501" s="191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1"/>
      <c r="F502" s="205"/>
      <c r="G502" s="205"/>
      <c r="H502"/>
      <c r="I502" s="205"/>
      <c r="J502"/>
      <c r="K502"/>
      <c r="L502" s="205"/>
      <c r="M502" s="191"/>
      <c r="N502" s="205"/>
      <c r="O502" s="191"/>
      <c r="P502" s="191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1"/>
      <c r="F503" s="205"/>
      <c r="G503" s="205"/>
      <c r="H503"/>
      <c r="I503" s="205"/>
      <c r="J503"/>
      <c r="K503"/>
      <c r="L503" s="205"/>
      <c r="M503" s="191"/>
      <c r="N503" s="205"/>
      <c r="O503" s="191"/>
      <c r="P503" s="191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1"/>
      <c r="F504" s="205"/>
      <c r="G504" s="205"/>
      <c r="H504"/>
      <c r="I504" s="205"/>
      <c r="J504"/>
      <c r="K504"/>
      <c r="L504" s="205"/>
      <c r="M504" s="191"/>
      <c r="N504" s="205"/>
      <c r="O504" s="191"/>
      <c r="P504" s="191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1"/>
      <c r="F505" s="205"/>
      <c r="G505" s="205"/>
      <c r="H505"/>
      <c r="I505" s="205"/>
      <c r="J505"/>
      <c r="K505"/>
      <c r="L505" s="205"/>
      <c r="M505" s="191"/>
      <c r="N505" s="205"/>
      <c r="O505" s="191"/>
      <c r="P505" s="191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1"/>
      <c r="F506" s="205"/>
      <c r="G506" s="205"/>
      <c r="H506"/>
      <c r="I506" s="205"/>
      <c r="J506"/>
      <c r="K506"/>
      <c r="L506" s="205"/>
      <c r="M506" s="191"/>
      <c r="N506" s="205"/>
      <c r="O506" s="191"/>
      <c r="P506" s="191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1"/>
      <c r="F507" s="205"/>
      <c r="G507" s="205"/>
      <c r="H507" s="205"/>
      <c r="I507" s="205"/>
      <c r="J507"/>
      <c r="K507"/>
      <c r="L507" s="205"/>
      <c r="M507" s="191"/>
      <c r="N507" s="205"/>
      <c r="O507" s="191"/>
      <c r="P507" s="191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1"/>
      <c r="F508" s="205"/>
      <c r="G508" s="205"/>
      <c r="H508"/>
      <c r="I508" s="205"/>
      <c r="J508"/>
      <c r="K508"/>
      <c r="L508" s="205"/>
      <c r="M508" s="191"/>
      <c r="N508" s="205"/>
      <c r="O508" s="191"/>
      <c r="P508" s="191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1"/>
      <c r="F509" s="205"/>
      <c r="G509" s="205"/>
      <c r="H509" s="205"/>
      <c r="I509" s="205"/>
      <c r="J509"/>
      <c r="K509"/>
      <c r="L509" s="205"/>
      <c r="M509" s="191"/>
      <c r="N509" s="205"/>
      <c r="O509" s="191"/>
      <c r="P509" s="191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1"/>
      <c r="F510" s="205"/>
      <c r="G510" s="205"/>
      <c r="H510"/>
      <c r="I510" s="205"/>
      <c r="J510"/>
      <c r="K510"/>
      <c r="L510" s="205"/>
      <c r="M510" s="191"/>
      <c r="N510" s="205"/>
      <c r="O510" s="191"/>
      <c r="P510" s="191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1"/>
      <c r="F511" s="205"/>
      <c r="G511" s="205"/>
      <c r="H511" s="205"/>
      <c r="I511" s="205"/>
      <c r="J511" s="205"/>
      <c r="K511" s="205"/>
      <c r="L511" s="205"/>
      <c r="M511" s="191"/>
      <c r="N511" s="205"/>
      <c r="O511" s="191"/>
      <c r="P511" s="191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0"/>
      <c r="BJ511" s="200"/>
      <c r="BK511" s="200"/>
      <c r="BL511" s="200"/>
      <c r="BM511" s="200"/>
      <c r="BN511" s="200"/>
      <c r="BO511" s="200"/>
      <c r="BP511" s="200"/>
      <c r="BQ511" s="200"/>
      <c r="BR511" s="200"/>
      <c r="BS511" s="200"/>
      <c r="BT511" s="200"/>
      <c r="BU511" s="200"/>
      <c r="BV511" s="200"/>
      <c r="BW511" s="200"/>
      <c r="BX511" s="200"/>
      <c r="BY511" s="200"/>
      <c r="BZ511" s="200"/>
      <c r="CA511" s="200"/>
      <c r="CB511" s="200"/>
      <c r="CC511" s="200"/>
      <c r="CD511" s="200"/>
      <c r="CE511" s="200"/>
      <c r="CF511" s="200"/>
      <c r="CG511" s="200"/>
      <c r="CH511" s="200"/>
      <c r="CI511" s="200"/>
      <c r="CJ511" s="200"/>
      <c r="CK511" s="200"/>
      <c r="CL511" s="200"/>
      <c r="CM511" s="200"/>
      <c r="CN511" s="200"/>
      <c r="CP511" s="200"/>
      <c r="CQ511" s="200"/>
      <c r="CR511" s="200"/>
      <c r="CS511" s="200"/>
      <c r="CT511" s="200"/>
      <c r="CU511" s="200"/>
      <c r="CV511" s="200"/>
    </row>
    <row r="512" spans="1:100" x14ac:dyDescent="0.2">
      <c r="A512" s="219"/>
      <c r="B512" s="219"/>
      <c r="C512" s="205"/>
      <c r="D512" s="205"/>
      <c r="E512" s="191"/>
      <c r="F512" s="205"/>
      <c r="G512" s="205"/>
      <c r="H512"/>
      <c r="I512" s="205"/>
      <c r="J512"/>
      <c r="K512"/>
      <c r="L512" s="205"/>
      <c r="M512" s="191"/>
      <c r="N512" s="205"/>
      <c r="O512" s="191"/>
      <c r="P512" s="191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1"/>
      <c r="F513" s="205"/>
      <c r="G513" s="205"/>
      <c r="H513"/>
      <c r="I513" s="205"/>
      <c r="J513"/>
      <c r="K513"/>
      <c r="L513" s="205"/>
      <c r="M513" s="191"/>
      <c r="N513" s="205"/>
      <c r="O513" s="191"/>
      <c r="P513" s="191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1"/>
      <c r="F514" s="205"/>
      <c r="G514" s="205"/>
      <c r="H514"/>
      <c r="I514" s="205"/>
      <c r="J514"/>
      <c r="K514"/>
      <c r="L514" s="205"/>
      <c r="M514" s="191"/>
      <c r="N514" s="205"/>
      <c r="O514" s="191"/>
      <c r="P514" s="191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1"/>
      <c r="F515" s="205"/>
      <c r="G515" s="205"/>
      <c r="H515"/>
      <c r="I515" s="205"/>
      <c r="J515"/>
      <c r="K515"/>
      <c r="L515" s="205"/>
      <c r="M515" s="191"/>
      <c r="N515" s="205"/>
      <c r="O515" s="191"/>
      <c r="P515" s="191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1"/>
      <c r="F516" s="205"/>
      <c r="G516" s="205"/>
      <c r="H516"/>
      <c r="I516" s="205"/>
      <c r="J516"/>
      <c r="K516"/>
      <c r="L516" s="205"/>
      <c r="M516" s="191"/>
      <c r="N516" s="205"/>
      <c r="O516" s="191"/>
      <c r="P516" s="191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1"/>
      <c r="F517" s="205"/>
      <c r="G517" s="205"/>
      <c r="H517"/>
      <c r="I517" s="205"/>
      <c r="J517"/>
      <c r="K517"/>
      <c r="L517" s="205"/>
      <c r="M517" s="191"/>
      <c r="N517" s="205"/>
      <c r="O517" s="191"/>
      <c r="P517" s="191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1"/>
      <c r="F518" s="205"/>
      <c r="G518" s="205"/>
      <c r="H518"/>
      <c r="I518" s="205"/>
      <c r="J518"/>
      <c r="K518"/>
      <c r="L518" s="205"/>
      <c r="M518" s="191"/>
      <c r="N518" s="205"/>
      <c r="O518" s="191"/>
      <c r="P518" s="191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1"/>
      <c r="F519" s="205"/>
      <c r="G519" s="205"/>
      <c r="H519" s="205"/>
      <c r="O519" s="191"/>
      <c r="P519" s="191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1"/>
      <c r="F520" s="205"/>
      <c r="G520" s="205"/>
      <c r="H520" s="205"/>
      <c r="O520" s="191"/>
      <c r="P520" s="191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1"/>
      <c r="F521" s="205"/>
      <c r="G521" s="205"/>
      <c r="H521" s="205"/>
      <c r="O521" s="191"/>
      <c r="P521" s="191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1"/>
      <c r="F522" s="205"/>
      <c r="G522" s="205"/>
      <c r="H522" s="205"/>
      <c r="O522" s="191"/>
      <c r="P522" s="191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1"/>
      <c r="F523" s="205"/>
      <c r="G523" s="205"/>
      <c r="H523" s="205"/>
      <c r="O523" s="191"/>
      <c r="P523" s="191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1"/>
      <c r="F524" s="205"/>
      <c r="G524" s="205"/>
      <c r="H524" s="205"/>
      <c r="O524" s="191"/>
      <c r="P524" s="191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1"/>
      <c r="F525" s="205"/>
      <c r="G525" s="205"/>
      <c r="H525" s="205"/>
      <c r="O525" s="191"/>
      <c r="P525" s="191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1"/>
      <c r="F526" s="205"/>
      <c r="G526" s="205"/>
      <c r="H526" s="205"/>
      <c r="O526" s="191"/>
      <c r="P526" s="191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1"/>
      <c r="F527" s="205"/>
      <c r="G527" s="205"/>
      <c r="H527" s="205"/>
      <c r="O527" s="191"/>
      <c r="P527" s="191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1"/>
      <c r="F528" s="205"/>
      <c r="G528" s="205"/>
      <c r="H528" s="205"/>
      <c r="O528" s="191"/>
      <c r="P528" s="191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1"/>
      <c r="F529" s="205"/>
      <c r="G529" s="205"/>
      <c r="H529" s="205"/>
      <c r="O529" s="191"/>
      <c r="P529" s="191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1"/>
      <c r="F530" s="205"/>
      <c r="G530" s="205"/>
      <c r="H530" s="205"/>
      <c r="O530" s="191"/>
      <c r="P530" s="191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1"/>
      <c r="F531" s="205"/>
      <c r="G531" s="205"/>
      <c r="H531" s="205"/>
      <c r="O531" s="191"/>
      <c r="P531" s="191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1"/>
      <c r="F532" s="205"/>
      <c r="G532" s="205"/>
      <c r="H532" s="205"/>
      <c r="O532" s="191"/>
      <c r="P532" s="191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1"/>
      <c r="F533" s="205"/>
      <c r="G533" s="205"/>
      <c r="H533" s="205"/>
      <c r="O533" s="191"/>
      <c r="P533" s="191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1"/>
      <c r="F534" s="205"/>
      <c r="G534" s="205"/>
      <c r="H534" s="205"/>
      <c r="O534" s="191"/>
      <c r="P534" s="191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1"/>
      <c r="F535" s="205"/>
      <c r="G535" s="205"/>
      <c r="H535" s="205"/>
      <c r="O535" s="191"/>
      <c r="P535" s="191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1"/>
      <c r="F536" s="205"/>
      <c r="G536" s="205"/>
      <c r="H536" s="205"/>
      <c r="O536" s="191"/>
      <c r="P536" s="191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1"/>
      <c r="F537" s="205"/>
      <c r="G537" s="205"/>
      <c r="H537" s="205"/>
      <c r="O537" s="191"/>
      <c r="P537" s="191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1"/>
      <c r="F538" s="205"/>
      <c r="G538" s="205"/>
      <c r="H538" s="205"/>
      <c r="O538" s="191"/>
      <c r="P538" s="191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1"/>
      <c r="F539" s="205"/>
      <c r="G539" s="205"/>
      <c r="H539" s="205"/>
      <c r="O539" s="191"/>
      <c r="P539" s="191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1"/>
      <c r="F540" s="205"/>
      <c r="G540" s="205"/>
      <c r="H540" s="205"/>
      <c r="O540" s="191"/>
      <c r="P540" s="191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1"/>
      <c r="F541" s="205"/>
      <c r="G541" s="205"/>
      <c r="H541" s="205"/>
      <c r="O541" s="191"/>
      <c r="P541" s="191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1"/>
      <c r="F542" s="205"/>
      <c r="G542" s="205"/>
      <c r="H542" s="205"/>
      <c r="O542" s="191"/>
      <c r="P542" s="191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1"/>
      <c r="F543" s="205"/>
      <c r="G543" s="205"/>
      <c r="H543" s="205"/>
      <c r="O543" s="191"/>
      <c r="P543" s="191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1"/>
      <c r="F544" s="205"/>
      <c r="G544" s="205"/>
      <c r="H544" s="205"/>
      <c r="O544" s="191"/>
      <c r="P544" s="191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1"/>
      <c r="F545" s="205"/>
      <c r="G545" s="205"/>
      <c r="H545" s="205"/>
      <c r="O545" s="191"/>
      <c r="P545" s="191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1"/>
      <c r="F546" s="205"/>
      <c r="G546" s="205"/>
      <c r="H546" s="205"/>
      <c r="O546" s="191"/>
      <c r="P546" s="191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1"/>
      <c r="F547" s="205"/>
      <c r="G547" s="205"/>
      <c r="H547" s="205"/>
      <c r="O547" s="191"/>
      <c r="P547" s="191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1"/>
      <c r="F548" s="205"/>
      <c r="G548" s="205"/>
      <c r="H548" s="205"/>
      <c r="O548" s="191"/>
      <c r="P548" s="191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1"/>
      <c r="F549" s="205"/>
      <c r="G549" s="205"/>
      <c r="H549" s="205"/>
      <c r="O549" s="191"/>
      <c r="P549" s="191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1"/>
      <c r="F550" s="205"/>
      <c r="G550" s="205"/>
      <c r="H550"/>
      <c r="O550" s="191"/>
      <c r="P550" s="191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1"/>
      <c r="F551" s="205"/>
      <c r="G551" s="205"/>
      <c r="H551" s="205"/>
      <c r="O551" s="191"/>
      <c r="P551" s="191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1"/>
      <c r="F552" s="205"/>
      <c r="G552" s="205"/>
      <c r="H552"/>
      <c r="O552" s="191"/>
      <c r="P552" s="191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1"/>
      <c r="F553" s="205"/>
      <c r="G553" s="205"/>
      <c r="H553"/>
      <c r="O553" s="191"/>
      <c r="P553" s="191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1"/>
      <c r="F554" s="205"/>
      <c r="G554"/>
      <c r="H554"/>
      <c r="O554" s="191"/>
      <c r="P554" s="191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1"/>
      <c r="F555" s="205"/>
      <c r="G555"/>
      <c r="H555"/>
      <c r="O555" s="191"/>
      <c r="P555" s="191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1"/>
      <c r="F556" s="205"/>
      <c r="G556" s="205"/>
      <c r="H556" s="205"/>
      <c r="O556" s="191"/>
      <c r="P556" s="191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1"/>
      <c r="F557" s="205"/>
      <c r="G557"/>
      <c r="H557"/>
      <c r="O557" s="191"/>
      <c r="P557" s="191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1"/>
      <c r="F558" s="205"/>
      <c r="G558" s="205"/>
      <c r="H558"/>
      <c r="O558" s="191"/>
      <c r="P558" s="191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1"/>
      <c r="F559" s="205"/>
      <c r="G559" s="205"/>
      <c r="H559"/>
      <c r="O559" s="191"/>
      <c r="P559" s="191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1"/>
      <c r="F560" s="205"/>
      <c r="G560" s="205"/>
      <c r="H560"/>
      <c r="O560" s="191"/>
      <c r="P560" s="191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1"/>
      <c r="F561" s="205"/>
      <c r="G561" s="205"/>
      <c r="H561"/>
      <c r="O561" s="191"/>
      <c r="P561" s="191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1"/>
      <c r="F562" s="205"/>
      <c r="G562"/>
      <c r="H562"/>
      <c r="O562" s="191"/>
      <c r="P562" s="191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1"/>
      <c r="F563" s="205"/>
      <c r="G563" s="205"/>
      <c r="H563"/>
      <c r="O563" s="191"/>
      <c r="P563" s="191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1"/>
      <c r="F564" s="205"/>
      <c r="G564" s="205"/>
      <c r="H564"/>
      <c r="O564" s="191"/>
      <c r="P564" s="191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1"/>
      <c r="F565" s="205"/>
      <c r="G565" s="205"/>
      <c r="H565"/>
      <c r="O565" s="191"/>
      <c r="P565" s="191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1"/>
      <c r="F566" s="205"/>
      <c r="G566" s="205"/>
      <c r="H566" s="205"/>
      <c r="O566" s="191"/>
      <c r="P566" s="191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1"/>
      <c r="F567" s="205"/>
      <c r="G567" s="205"/>
      <c r="H567"/>
      <c r="O567" s="191"/>
      <c r="P567" s="191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1"/>
      <c r="F568" s="205"/>
      <c r="G568" s="205"/>
      <c r="H568"/>
      <c r="O568" s="191"/>
      <c r="P568" s="191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1"/>
      <c r="F569" s="205"/>
      <c r="G569" s="205"/>
      <c r="H569"/>
      <c r="O569" s="191"/>
      <c r="P569" s="191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1"/>
      <c r="F570" s="205"/>
      <c r="G570" s="205"/>
      <c r="H570"/>
      <c r="O570" s="191"/>
      <c r="P570" s="191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1"/>
      <c r="F571" s="205"/>
      <c r="G571" s="205"/>
      <c r="H571" s="205"/>
      <c r="O571" s="191"/>
      <c r="P571" s="191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1"/>
      <c r="F572" s="205"/>
      <c r="G572" s="205"/>
      <c r="H572"/>
      <c r="O572" s="191"/>
      <c r="P572" s="191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1"/>
      <c r="F573" s="205"/>
      <c r="G573" s="205"/>
      <c r="H573"/>
      <c r="O573" s="191"/>
      <c r="P573" s="191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1"/>
      <c r="F574" s="205"/>
      <c r="G574"/>
      <c r="H574"/>
      <c r="O574" s="191"/>
      <c r="P574" s="191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1"/>
      <c r="F575" s="205"/>
      <c r="G575"/>
      <c r="H575"/>
      <c r="O575" s="191"/>
      <c r="P575" s="191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1"/>
      <c r="F576" s="205"/>
      <c r="G576" s="205"/>
      <c r="H576"/>
      <c r="O576" s="191"/>
      <c r="P576" s="191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1"/>
      <c r="F577" s="205"/>
      <c r="G577"/>
      <c r="H577"/>
      <c r="O577" s="191"/>
      <c r="P577" s="191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1"/>
      <c r="F578" s="205"/>
      <c r="G578" s="205"/>
      <c r="H578"/>
      <c r="O578" s="191"/>
      <c r="P578" s="191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1"/>
      <c r="F579" s="205"/>
      <c r="G579" s="205"/>
      <c r="H579"/>
      <c r="O579" s="191"/>
      <c r="P579" s="191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1"/>
      <c r="F580" s="205"/>
      <c r="G580" s="205"/>
      <c r="H580"/>
      <c r="O580" s="191"/>
      <c r="P580" s="191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1"/>
      <c r="F581" s="205"/>
      <c r="G581" s="205"/>
      <c r="H581"/>
      <c r="O581" s="191"/>
      <c r="P581" s="191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1"/>
      <c r="F582" s="205"/>
      <c r="G582"/>
      <c r="H582"/>
      <c r="O582" s="191"/>
      <c r="P582" s="191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1"/>
      <c r="F583" s="205"/>
      <c r="G583" s="205"/>
      <c r="H583"/>
      <c r="O583" s="191"/>
      <c r="P583" s="191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1"/>
      <c r="F584" s="205"/>
      <c r="G584" s="205"/>
      <c r="H584"/>
      <c r="O584" s="191"/>
      <c r="P584" s="191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1"/>
      <c r="F585" s="205"/>
      <c r="G585" s="205"/>
      <c r="H585"/>
      <c r="O585" s="191"/>
      <c r="P585" s="191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1"/>
      <c r="F586" s="205"/>
      <c r="G586" s="205"/>
      <c r="H586" s="205"/>
      <c r="O586" s="191"/>
      <c r="P586" s="191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1"/>
      <c r="F587" s="205"/>
      <c r="G587" s="205"/>
      <c r="H587"/>
      <c r="O587" s="191"/>
      <c r="P587" s="191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1"/>
      <c r="F588" s="205"/>
      <c r="G588" s="205"/>
      <c r="H588"/>
      <c r="O588" s="191"/>
      <c r="P588" s="191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1"/>
      <c r="F589" s="205"/>
      <c r="G589" s="205"/>
      <c r="H589"/>
      <c r="O589" s="191"/>
      <c r="P589" s="191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1"/>
      <c r="F590" s="205"/>
      <c r="G590" s="205"/>
      <c r="H590"/>
      <c r="O590" s="191"/>
      <c r="P590" s="191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1"/>
      <c r="F591" s="205"/>
      <c r="G591" s="205"/>
      <c r="H591" s="205"/>
      <c r="O591" s="191"/>
      <c r="P591" s="191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1"/>
      <c r="F592" s="205"/>
      <c r="G592"/>
      <c r="H592"/>
      <c r="O592" s="191"/>
      <c r="P592" s="191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1"/>
      <c r="F593" s="205"/>
      <c r="G593" s="205"/>
      <c r="H593"/>
      <c r="O593" s="191"/>
      <c r="P593" s="191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1"/>
      <c r="F594" s="205"/>
      <c r="G594" s="205"/>
      <c r="H594"/>
      <c r="O594" s="191"/>
      <c r="P594" s="191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1"/>
      <c r="F595" s="205"/>
      <c r="G595" s="205"/>
      <c r="H595"/>
      <c r="O595" s="191"/>
      <c r="P595" s="191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1"/>
      <c r="F596" s="205"/>
      <c r="G596" s="205"/>
      <c r="H596"/>
      <c r="O596" s="191"/>
      <c r="P596" s="191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1"/>
      <c r="F597" s="205"/>
      <c r="G597"/>
      <c r="H597"/>
      <c r="O597" s="191"/>
      <c r="P597" s="191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1"/>
      <c r="F598" s="205"/>
      <c r="G598" s="205"/>
      <c r="H598"/>
      <c r="O598" s="191"/>
      <c r="P598" s="191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1"/>
      <c r="F599" s="205"/>
      <c r="G599"/>
      <c r="H599"/>
      <c r="O599" s="191"/>
      <c r="P599" s="191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1"/>
      <c r="F600" s="205"/>
      <c r="G600" s="205"/>
      <c r="H600"/>
      <c r="O600" s="191"/>
      <c r="P600" s="191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1"/>
      <c r="F601" s="205"/>
      <c r="G601" s="205"/>
      <c r="H601"/>
      <c r="O601" s="191"/>
      <c r="P601" s="191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1"/>
      <c r="F602" s="205"/>
      <c r="G602" s="205"/>
      <c r="H602"/>
      <c r="O602" s="191"/>
      <c r="P602" s="191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1"/>
      <c r="F603" s="205"/>
      <c r="G603" s="205"/>
      <c r="H603"/>
      <c r="O603" s="191"/>
      <c r="P603" s="191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1"/>
      <c r="F604" s="205"/>
      <c r="G604" s="205"/>
      <c r="H604"/>
      <c r="O604" s="191"/>
      <c r="P604" s="191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1"/>
      <c r="F605" s="205"/>
      <c r="G605" s="205"/>
      <c r="H605"/>
      <c r="O605" s="191"/>
      <c r="P605" s="191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1"/>
      <c r="F606" s="205"/>
      <c r="G606" s="205"/>
      <c r="H606" s="205"/>
      <c r="O606" s="191"/>
      <c r="P606" s="191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1"/>
      <c r="F607" s="205"/>
      <c r="G607" s="205"/>
      <c r="H607"/>
      <c r="O607" s="191"/>
      <c r="P607" s="191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1"/>
      <c r="F608" s="205"/>
      <c r="G608" s="205"/>
      <c r="H608" s="205"/>
      <c r="O608" s="191"/>
      <c r="P608" s="191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1"/>
      <c r="F609" s="205"/>
      <c r="G609" s="205"/>
      <c r="H609"/>
      <c r="O609" s="191"/>
      <c r="P609" s="191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1"/>
      <c r="F610" s="205"/>
      <c r="G610" s="205"/>
      <c r="H610"/>
      <c r="O610" s="191"/>
      <c r="P610" s="191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1"/>
      <c r="F611" s="205"/>
      <c r="G611" s="205"/>
      <c r="H611" s="205"/>
      <c r="O611" s="191"/>
      <c r="P611" s="191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1"/>
      <c r="F612" s="205"/>
      <c r="G612" s="205"/>
      <c r="H612"/>
      <c r="O612" s="191"/>
      <c r="P612" s="191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1"/>
      <c r="F613" s="205"/>
      <c r="G613" s="205"/>
      <c r="H613"/>
      <c r="O613" s="191"/>
      <c r="P613" s="191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1"/>
      <c r="F614" s="205"/>
      <c r="G614" s="205"/>
      <c r="H614"/>
      <c r="O614" s="191"/>
      <c r="P614" s="191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1"/>
      <c r="F615" s="205"/>
      <c r="G615" s="205"/>
      <c r="H615"/>
      <c r="O615" s="191"/>
      <c r="P615" s="191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1"/>
      <c r="F616" s="205"/>
      <c r="G616"/>
      <c r="H616"/>
      <c r="O616" s="191"/>
      <c r="P616" s="191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1"/>
      <c r="F617" s="205"/>
      <c r="G617" s="205"/>
      <c r="H617"/>
      <c r="O617" s="191"/>
      <c r="P617" s="191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1"/>
      <c r="F618" s="205"/>
      <c r="G618"/>
      <c r="H618"/>
      <c r="O618" s="191"/>
      <c r="P618" s="191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1"/>
      <c r="F619" s="205"/>
      <c r="G619" s="205"/>
      <c r="H619"/>
      <c r="O619" s="191"/>
      <c r="P619" s="191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1"/>
      <c r="F620" s="205"/>
      <c r="G620" s="205"/>
      <c r="H620"/>
      <c r="O620" s="191"/>
      <c r="P620" s="191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1"/>
      <c r="F621" s="205"/>
      <c r="G621"/>
      <c r="H621"/>
      <c r="O621" s="191"/>
      <c r="P621" s="191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1"/>
      <c r="F622" s="205"/>
      <c r="G622" s="205"/>
      <c r="H622"/>
      <c r="O622" s="191"/>
      <c r="P622" s="191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1"/>
      <c r="F623" s="205"/>
      <c r="G623" s="205"/>
      <c r="H623"/>
      <c r="O623" s="191"/>
      <c r="P623" s="191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1"/>
      <c r="F624" s="205"/>
      <c r="G624" s="205"/>
      <c r="H624"/>
      <c r="O624" s="191"/>
      <c r="P624" s="191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1"/>
      <c r="F625" s="205"/>
      <c r="G625" s="205"/>
      <c r="H625"/>
      <c r="O625" s="191"/>
      <c r="P625" s="191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1"/>
      <c r="F626" s="205"/>
      <c r="G626" s="205"/>
      <c r="H626"/>
      <c r="O626" s="191"/>
      <c r="P626" s="191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1"/>
      <c r="F627" s="205"/>
      <c r="G627" s="205"/>
      <c r="H627" s="205"/>
      <c r="O627" s="191"/>
      <c r="P627" s="191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1"/>
      <c r="F628" s="205"/>
      <c r="G628" s="205"/>
      <c r="H628"/>
      <c r="O628" s="191"/>
      <c r="P628" s="191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1"/>
      <c r="F629" s="205"/>
      <c r="G629" s="205"/>
      <c r="H629"/>
      <c r="O629" s="191"/>
      <c r="P629" s="191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1"/>
      <c r="F630" s="205"/>
      <c r="G630" s="205"/>
      <c r="H630"/>
      <c r="O630" s="191"/>
      <c r="P630" s="191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1"/>
      <c r="F631" s="205"/>
      <c r="G631" s="205"/>
      <c r="H631"/>
      <c r="O631" s="191"/>
      <c r="P631" s="191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1"/>
      <c r="F632" s="205"/>
      <c r="G632" s="205"/>
      <c r="H632"/>
      <c r="O632" s="191"/>
      <c r="P632" s="191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1"/>
      <c r="F633" s="205"/>
      <c r="G633" s="205"/>
      <c r="H633"/>
      <c r="O633" s="191"/>
      <c r="P633" s="191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1"/>
      <c r="F634" s="205"/>
      <c r="G634" s="205"/>
      <c r="H634"/>
      <c r="O634" s="191"/>
      <c r="P634" s="191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1"/>
      <c r="F635" s="205"/>
      <c r="G635" s="205"/>
      <c r="H635"/>
      <c r="O635" s="191"/>
      <c r="P635" s="191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1"/>
      <c r="F636" s="205"/>
      <c r="G636" s="205"/>
      <c r="H636"/>
      <c r="O636" s="191"/>
      <c r="P636" s="191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1"/>
      <c r="F637" s="205"/>
      <c r="G637" s="205"/>
      <c r="H637"/>
      <c r="O637" s="191"/>
      <c r="P637" s="191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1"/>
      <c r="F638" s="205"/>
      <c r="G638" s="205"/>
      <c r="H638"/>
      <c r="O638" s="191"/>
      <c r="P638" s="191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1"/>
      <c r="F639" s="205"/>
      <c r="G639" s="205"/>
      <c r="H639"/>
      <c r="O639" s="191"/>
      <c r="P639" s="191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1"/>
      <c r="F640" s="205"/>
      <c r="G640" s="205"/>
      <c r="H640"/>
      <c r="O640" s="191"/>
      <c r="P640" s="191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1"/>
      <c r="F641" s="205"/>
      <c r="G641" s="205"/>
      <c r="H641"/>
      <c r="O641" s="191"/>
      <c r="P641" s="191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1"/>
      <c r="F642" s="205"/>
      <c r="G642" s="205"/>
      <c r="H642"/>
      <c r="O642" s="191"/>
      <c r="P642" s="191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1"/>
      <c r="F643" s="205"/>
      <c r="G643" s="205"/>
      <c r="H643"/>
      <c r="O643" s="191"/>
      <c r="P643" s="191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1"/>
      <c r="F644" s="205"/>
      <c r="G644" s="205"/>
      <c r="H644"/>
      <c r="O644" s="191"/>
      <c r="P644" s="191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1"/>
      <c r="F645" s="205"/>
      <c r="G645" s="205"/>
      <c r="H645"/>
      <c r="O645" s="191"/>
      <c r="P645" s="191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1"/>
      <c r="F646" s="205"/>
      <c r="G646" s="205"/>
      <c r="H646"/>
      <c r="O646" s="191"/>
      <c r="P646" s="191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1"/>
      <c r="F647" s="205"/>
      <c r="G647" s="205"/>
      <c r="H647"/>
      <c r="O647" s="191"/>
      <c r="P647" s="191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1"/>
      <c r="F648" s="205"/>
      <c r="G648" s="205"/>
      <c r="H648"/>
      <c r="O648" s="191"/>
      <c r="P648" s="191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1"/>
      <c r="F649" s="205"/>
      <c r="G649" s="205"/>
      <c r="H649" s="205"/>
      <c r="O649" s="191"/>
      <c r="P649" s="191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1"/>
      <c r="F650" s="205"/>
      <c r="G650" s="205"/>
      <c r="H650" s="205"/>
      <c r="O650" s="191"/>
      <c r="P650" s="191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1"/>
      <c r="F651" s="205"/>
      <c r="G651" s="205"/>
      <c r="H651" s="205"/>
      <c r="O651" s="191"/>
      <c r="P651" s="191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1"/>
      <c r="F652" s="205"/>
      <c r="G652" s="205"/>
      <c r="H652"/>
      <c r="O652" s="191"/>
      <c r="P652" s="191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1"/>
      <c r="F653" s="205"/>
      <c r="G653" s="205"/>
      <c r="H653"/>
      <c r="O653" s="191"/>
      <c r="P653" s="191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1"/>
      <c r="F654" s="205"/>
      <c r="G654" s="205"/>
      <c r="H654" s="205"/>
      <c r="O654" s="191"/>
      <c r="P654" s="191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1"/>
      <c r="F655" s="205"/>
      <c r="G655"/>
      <c r="H655"/>
      <c r="O655" s="191"/>
      <c r="P655" s="191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1"/>
      <c r="F656" s="205"/>
      <c r="G656" s="205"/>
      <c r="H656"/>
      <c r="O656" s="191"/>
      <c r="P656" s="191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1"/>
      <c r="F657" s="205"/>
      <c r="G657" s="205"/>
      <c r="H657"/>
      <c r="O657" s="191"/>
      <c r="P657" s="191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1"/>
      <c r="F658" s="205"/>
      <c r="G658" s="205"/>
      <c r="H658"/>
      <c r="O658" s="191"/>
      <c r="P658" s="191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1"/>
      <c r="F659" s="205"/>
      <c r="G659"/>
      <c r="H659"/>
      <c r="O659" s="191"/>
      <c r="P659" s="191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1"/>
      <c r="F660" s="205"/>
      <c r="G660" s="205"/>
      <c r="H660"/>
      <c r="O660" s="191"/>
      <c r="P660" s="191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1"/>
      <c r="F661" s="205"/>
      <c r="G661" s="205"/>
      <c r="H661"/>
      <c r="O661" s="191"/>
      <c r="P661" s="191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1"/>
      <c r="F662" s="205"/>
      <c r="G662" s="205"/>
      <c r="H662"/>
      <c r="O662" s="191"/>
      <c r="P662" s="191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1"/>
      <c r="F663" s="205"/>
      <c r="G663" s="205"/>
      <c r="H663"/>
      <c r="O663" s="191"/>
      <c r="P663" s="191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1"/>
      <c r="F664" s="205"/>
      <c r="G664"/>
      <c r="H664"/>
      <c r="O664" s="191"/>
      <c r="P664" s="191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1"/>
      <c r="F665" s="205"/>
      <c r="G665" s="205"/>
      <c r="H665"/>
      <c r="O665" s="191"/>
      <c r="P665" s="191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1"/>
      <c r="F666" s="205"/>
      <c r="G666"/>
      <c r="H666"/>
      <c r="O666" s="191"/>
      <c r="P666" s="191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1"/>
      <c r="F667" s="205"/>
      <c r="G667"/>
      <c r="H667"/>
      <c r="O667" s="191"/>
      <c r="P667" s="191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1"/>
      <c r="F668" s="205"/>
      <c r="G668" s="205"/>
      <c r="H668"/>
      <c r="O668" s="191"/>
      <c r="P668" s="191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1"/>
      <c r="F669" s="205"/>
      <c r="G669" s="205"/>
      <c r="H669"/>
      <c r="O669" s="191"/>
      <c r="P669" s="191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1"/>
      <c r="F670" s="205"/>
      <c r="G670" s="205"/>
      <c r="H670"/>
      <c r="O670" s="191"/>
      <c r="P670" s="191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1"/>
      <c r="F671" s="205"/>
      <c r="G671"/>
      <c r="H671"/>
      <c r="O671" s="191"/>
      <c r="P671" s="191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1"/>
      <c r="F672" s="205"/>
      <c r="G672" s="205"/>
      <c r="H672" s="205"/>
      <c r="O672" s="191"/>
      <c r="P672" s="191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1"/>
      <c r="F673" s="205"/>
      <c r="G673"/>
      <c r="H673"/>
      <c r="O673" s="191"/>
      <c r="P673" s="191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1"/>
      <c r="F674" s="205"/>
      <c r="G674"/>
      <c r="H674"/>
      <c r="O674" s="191"/>
      <c r="P674" s="191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1"/>
      <c r="F675" s="205"/>
      <c r="G675"/>
      <c r="H675"/>
      <c r="O675" s="191"/>
      <c r="P675" s="191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1"/>
      <c r="F676" s="205"/>
      <c r="G676" s="205"/>
      <c r="H676" s="205"/>
      <c r="O676" s="191"/>
      <c r="P676" s="191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1"/>
      <c r="F677" s="205"/>
      <c r="G677" s="205"/>
      <c r="H677"/>
      <c r="O677" s="191"/>
      <c r="P677" s="191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1"/>
      <c r="F678" s="205"/>
      <c r="G678" s="205"/>
      <c r="H678"/>
      <c r="O678" s="191"/>
      <c r="P678" s="191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1"/>
      <c r="F679" s="205"/>
      <c r="G679"/>
      <c r="H679"/>
      <c r="O679" s="191"/>
      <c r="P679" s="191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1"/>
      <c r="F680" s="205"/>
      <c r="G680" s="205"/>
      <c r="H680"/>
      <c r="O680" s="191"/>
      <c r="P680" s="191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1"/>
      <c r="F681" s="205"/>
      <c r="G681" s="205"/>
      <c r="H681"/>
      <c r="O681" s="191"/>
      <c r="P681" s="191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1"/>
      <c r="F682" s="205"/>
      <c r="G682" s="205"/>
      <c r="H682" s="205"/>
      <c r="O682" s="191"/>
      <c r="P682" s="191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1"/>
      <c r="F683" s="205"/>
      <c r="G683"/>
      <c r="H683"/>
      <c r="O683" s="191"/>
      <c r="P683" s="191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1"/>
      <c r="F684" s="205"/>
      <c r="G684"/>
      <c r="H684"/>
      <c r="O684" s="191"/>
      <c r="P684" s="191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1"/>
      <c r="F685" s="205"/>
      <c r="G685" s="205"/>
      <c r="H685" s="205"/>
      <c r="O685" s="191"/>
      <c r="P685" s="191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1"/>
      <c r="F686" s="205"/>
      <c r="G686" s="205"/>
      <c r="H686"/>
      <c r="O686" s="191"/>
      <c r="P686" s="191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1"/>
      <c r="F687" s="205"/>
      <c r="G687"/>
      <c r="H687"/>
      <c r="O687" s="191"/>
      <c r="P687" s="191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1"/>
      <c r="F688" s="205"/>
      <c r="G688"/>
      <c r="H688"/>
      <c r="O688" s="191"/>
      <c r="P688" s="191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1"/>
      <c r="F689" s="205"/>
      <c r="G689" s="205"/>
      <c r="H689"/>
      <c r="O689" s="191"/>
      <c r="P689" s="191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1"/>
      <c r="F690" s="205"/>
      <c r="G690" s="205"/>
      <c r="H690"/>
      <c r="O690" s="191"/>
      <c r="P690" s="191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1"/>
      <c r="F691" s="205"/>
      <c r="G691" s="205"/>
      <c r="H691" s="205"/>
      <c r="O691" s="191"/>
      <c r="P691" s="191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1"/>
      <c r="F692" s="205"/>
      <c r="G692" s="205"/>
      <c r="H692"/>
      <c r="O692" s="191"/>
      <c r="P692" s="191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1"/>
      <c r="F693" s="205"/>
      <c r="G693" s="205"/>
      <c r="H693" s="205"/>
      <c r="O693" s="191"/>
      <c r="P693" s="191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1"/>
      <c r="F694" s="205"/>
      <c r="G694" s="205"/>
      <c r="H694"/>
      <c r="O694" s="191"/>
      <c r="P694" s="191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1"/>
      <c r="F695" s="205"/>
      <c r="G695" s="205"/>
      <c r="H695"/>
      <c r="O695" s="191"/>
      <c r="P695" s="191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1"/>
      <c r="F696" s="205"/>
      <c r="G696"/>
      <c r="H696"/>
      <c r="O696" s="191"/>
      <c r="P696" s="191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1"/>
      <c r="F697" s="205"/>
      <c r="G697" s="205"/>
      <c r="H697"/>
      <c r="O697" s="191"/>
      <c r="P697" s="191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1"/>
      <c r="F698" s="205"/>
      <c r="G698" s="205"/>
      <c r="H698" s="205"/>
      <c r="O698" s="191"/>
      <c r="P698" s="191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1"/>
      <c r="F699" s="205"/>
      <c r="G699" s="205"/>
      <c r="H699" s="205"/>
      <c r="O699" s="191"/>
      <c r="P699" s="191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1"/>
      <c r="F700" s="205"/>
      <c r="G700"/>
      <c r="H700"/>
      <c r="O700" s="191"/>
      <c r="P700" s="191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1"/>
      <c r="F701" s="205"/>
      <c r="G701" s="205"/>
      <c r="H701"/>
      <c r="O701" s="191"/>
      <c r="P701" s="191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1"/>
      <c r="F702" s="205"/>
      <c r="G702" s="205"/>
      <c r="H702"/>
      <c r="O702" s="191"/>
      <c r="P702" s="191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1"/>
      <c r="F703" s="205"/>
      <c r="G703" s="205"/>
      <c r="H703"/>
      <c r="O703" s="191"/>
      <c r="P703" s="191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1"/>
      <c r="F704" s="205"/>
      <c r="G704" s="205"/>
      <c r="H704"/>
      <c r="O704" s="191"/>
      <c r="P704" s="191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1"/>
      <c r="F705" s="205"/>
      <c r="G705" s="205"/>
      <c r="H705" s="205"/>
      <c r="O705" s="191"/>
      <c r="P705" s="191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1"/>
      <c r="F706" s="205"/>
      <c r="G706"/>
      <c r="H706"/>
      <c r="O706" s="191"/>
      <c r="P706" s="191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1"/>
      <c r="F707" s="205"/>
      <c r="G707" s="205"/>
      <c r="H707"/>
      <c r="O707" s="191"/>
      <c r="P707" s="191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1"/>
      <c r="F708" s="205"/>
      <c r="G708" s="205"/>
      <c r="H708"/>
      <c r="O708" s="191"/>
      <c r="P708" s="191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1"/>
      <c r="F709" s="205"/>
      <c r="G709" s="205"/>
      <c r="H709"/>
      <c r="O709" s="191"/>
      <c r="P709" s="191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1"/>
      <c r="F710" s="205"/>
      <c r="G710" s="205"/>
      <c r="H710"/>
      <c r="O710" s="191"/>
      <c r="P710" s="191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1"/>
      <c r="F711" s="205"/>
      <c r="G711" s="205"/>
      <c r="H711"/>
      <c r="O711" s="191"/>
      <c r="P711" s="191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1"/>
      <c r="F712" s="205"/>
      <c r="G712" s="205"/>
      <c r="H712"/>
      <c r="O712" s="191"/>
      <c r="P712" s="191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1"/>
      <c r="F713" s="205"/>
      <c r="G713" s="205"/>
      <c r="H713"/>
      <c r="O713" s="191"/>
      <c r="P713" s="191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1"/>
      <c r="F714" s="205"/>
      <c r="G714" s="205"/>
      <c r="H714"/>
      <c r="O714" s="191"/>
      <c r="P714" s="191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1"/>
      <c r="F715" s="205"/>
      <c r="G715" s="205"/>
      <c r="H715"/>
      <c r="O715" s="191"/>
      <c r="P715" s="191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1"/>
      <c r="F716" s="205"/>
      <c r="G716"/>
      <c r="H716"/>
      <c r="O716" s="191"/>
      <c r="P716" s="191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1"/>
      <c r="F717" s="205"/>
      <c r="G717" s="205"/>
      <c r="H717"/>
      <c r="O717" s="191"/>
      <c r="P717" s="191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1"/>
      <c r="F718" s="205"/>
      <c r="G718" s="205"/>
      <c r="H718"/>
      <c r="O718" s="191"/>
      <c r="P718" s="191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1"/>
      <c r="F719" s="205"/>
      <c r="G719"/>
      <c r="H719"/>
      <c r="O719" s="191"/>
      <c r="P719" s="191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1"/>
      <c r="F720" s="205"/>
      <c r="G720" s="205"/>
      <c r="H720" s="205"/>
      <c r="O720" s="191"/>
      <c r="P720" s="191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1"/>
      <c r="F721" s="205"/>
      <c r="G721" s="205"/>
      <c r="H721" s="205"/>
      <c r="O721" s="191"/>
      <c r="P721" s="191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1"/>
      <c r="F722" s="205"/>
      <c r="G722" s="205"/>
      <c r="H722" s="205"/>
      <c r="O722" s="191"/>
      <c r="P722" s="191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1"/>
      <c r="F723" s="205"/>
      <c r="G723" s="205"/>
      <c r="H723"/>
      <c r="O723" s="191"/>
      <c r="P723" s="191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1"/>
      <c r="F724" s="205"/>
      <c r="G724"/>
      <c r="H724"/>
      <c r="O724" s="191"/>
      <c r="P724" s="191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1"/>
      <c r="F725" s="205"/>
      <c r="G725" s="205"/>
      <c r="H725"/>
      <c r="O725" s="191"/>
      <c r="P725" s="191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1"/>
      <c r="F726" s="205"/>
      <c r="G726" s="205"/>
      <c r="H726"/>
      <c r="O726" s="191"/>
      <c r="P726" s="191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1"/>
      <c r="F727" s="205"/>
      <c r="G727" s="205"/>
      <c r="H727" s="205"/>
      <c r="O727" s="191"/>
      <c r="P727" s="191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1"/>
      <c r="F728" s="205"/>
      <c r="G728" s="205"/>
      <c r="H728"/>
      <c r="O728" s="191"/>
      <c r="P728" s="191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1"/>
      <c r="F729" s="205"/>
      <c r="G729" s="205"/>
      <c r="H729"/>
      <c r="O729" s="191"/>
      <c r="P729" s="191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1"/>
      <c r="F730" s="205"/>
      <c r="G730" s="205"/>
      <c r="H730"/>
      <c r="O730" s="191"/>
      <c r="P730" s="191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1"/>
      <c r="F731" s="205"/>
      <c r="G731"/>
      <c r="H731"/>
      <c r="O731" s="191"/>
      <c r="P731" s="191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1"/>
      <c r="F732" s="205"/>
      <c r="G732"/>
      <c r="H732"/>
      <c r="O732" s="191"/>
      <c r="P732" s="191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1"/>
      <c r="F733" s="205"/>
      <c r="G733" s="205"/>
      <c r="H733"/>
      <c r="O733" s="191"/>
      <c r="P733" s="191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1"/>
      <c r="F734" s="205"/>
      <c r="G734" s="205"/>
      <c r="H734"/>
      <c r="O734" s="191"/>
      <c r="P734" s="191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1"/>
      <c r="F735" s="205"/>
      <c r="G735" s="205"/>
      <c r="H735"/>
      <c r="O735" s="191"/>
      <c r="P735" s="191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1"/>
      <c r="F736" s="205"/>
      <c r="G736" s="205"/>
      <c r="H736"/>
      <c r="O736" s="191"/>
      <c r="P736" s="191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1"/>
      <c r="F737" s="205"/>
      <c r="G737" s="205"/>
      <c r="H737"/>
      <c r="O737" s="191"/>
      <c r="P737" s="191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1"/>
      <c r="F738" s="205"/>
      <c r="G738" s="205"/>
      <c r="H738"/>
      <c r="O738" s="191"/>
      <c r="P738" s="191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1"/>
      <c r="F739" s="205"/>
      <c r="G739" s="205"/>
      <c r="H739"/>
      <c r="O739" s="191"/>
      <c r="P739" s="191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1"/>
      <c r="F740" s="205"/>
      <c r="G740" s="205"/>
      <c r="H740"/>
      <c r="O740" s="191"/>
      <c r="P740" s="191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1"/>
      <c r="F741" s="205"/>
      <c r="G741"/>
      <c r="H741"/>
      <c r="O741" s="191"/>
      <c r="P741" s="191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1"/>
      <c r="F742" s="205"/>
      <c r="G742" s="205"/>
      <c r="H742"/>
      <c r="O742" s="191"/>
      <c r="P742" s="191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1"/>
      <c r="F743" s="205"/>
      <c r="G743"/>
      <c r="H743"/>
      <c r="O743" s="191"/>
      <c r="P743" s="191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1"/>
      <c r="F744" s="205"/>
      <c r="G744" s="205"/>
      <c r="H744"/>
      <c r="O744" s="191"/>
      <c r="P744" s="191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1"/>
      <c r="F745" s="205"/>
      <c r="G745" s="205"/>
      <c r="H745" s="205"/>
      <c r="O745" s="191"/>
      <c r="P745" s="191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1"/>
      <c r="F746" s="205"/>
      <c r="G746" s="205"/>
      <c r="H746"/>
      <c r="O746" s="191"/>
      <c r="P746" s="191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1"/>
      <c r="F747" s="205"/>
      <c r="G747" s="205"/>
      <c r="H747"/>
      <c r="O747" s="191"/>
      <c r="P747" s="191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1"/>
      <c r="F748" s="205"/>
      <c r="G748" s="205"/>
      <c r="H748"/>
      <c r="O748" s="191"/>
      <c r="P748" s="191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1"/>
      <c r="F749" s="205"/>
      <c r="G749" s="205"/>
      <c r="H749"/>
      <c r="O749" s="191"/>
      <c r="P749" s="191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1"/>
      <c r="F750" s="205"/>
      <c r="G750" s="205"/>
      <c r="H750"/>
      <c r="O750" s="191"/>
      <c r="P750" s="191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1"/>
      <c r="F751" s="205"/>
      <c r="G751"/>
      <c r="H751"/>
      <c r="O751" s="191"/>
      <c r="P751" s="191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1"/>
      <c r="F752" s="205"/>
      <c r="G752"/>
      <c r="H752"/>
      <c r="O752" s="191"/>
      <c r="P752" s="191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1"/>
      <c r="F753" s="205"/>
      <c r="G753" s="205"/>
      <c r="H753"/>
      <c r="O753" s="191"/>
      <c r="P753" s="191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1"/>
      <c r="F754" s="205"/>
      <c r="G754"/>
      <c r="H754"/>
      <c r="O754" s="191"/>
      <c r="P754" s="191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1"/>
      <c r="F755" s="205"/>
      <c r="G755"/>
      <c r="H755"/>
      <c r="O755" s="191"/>
      <c r="P755" s="191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1"/>
      <c r="F756" s="205"/>
      <c r="G756"/>
      <c r="H756"/>
      <c r="O756" s="191"/>
      <c r="P756" s="191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1"/>
      <c r="F757" s="205"/>
      <c r="G757" s="205"/>
      <c r="H757"/>
      <c r="O757" s="191"/>
      <c r="P757" s="191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1"/>
      <c r="F758" s="205"/>
      <c r="G758" s="205"/>
      <c r="H758"/>
      <c r="O758" s="191"/>
      <c r="P758" s="191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1"/>
      <c r="F759" s="205"/>
      <c r="G759" s="205"/>
      <c r="H759"/>
      <c r="O759" s="191"/>
      <c r="P759" s="191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1"/>
      <c r="F760" s="205"/>
      <c r="G760" s="205"/>
      <c r="H760"/>
      <c r="O760" s="191"/>
      <c r="P760" s="191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1"/>
      <c r="F761" s="205"/>
      <c r="G761"/>
      <c r="H761"/>
      <c r="O761" s="191"/>
      <c r="P761" s="191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1"/>
      <c r="F762" s="205"/>
      <c r="G762" s="205"/>
      <c r="H762"/>
      <c r="O762" s="191"/>
      <c r="P762" s="191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1"/>
      <c r="F763" s="205"/>
      <c r="G763"/>
      <c r="H763"/>
      <c r="O763" s="191"/>
      <c r="P763" s="191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1"/>
      <c r="F764" s="205"/>
      <c r="G764" s="205"/>
      <c r="H764"/>
      <c r="O764" s="191"/>
      <c r="P764" s="191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1"/>
      <c r="F765" s="205"/>
      <c r="G765" s="205"/>
      <c r="H765"/>
      <c r="O765" s="191"/>
      <c r="P765" s="191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1"/>
      <c r="F766" s="205"/>
      <c r="G766"/>
      <c r="H766"/>
      <c r="O766" s="191"/>
      <c r="P766" s="191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1"/>
      <c r="F767" s="205"/>
      <c r="G767" s="205"/>
      <c r="H767" s="205"/>
      <c r="O767" s="191"/>
      <c r="P767" s="191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1"/>
      <c r="F768" s="205"/>
      <c r="G768" s="205"/>
      <c r="H768"/>
      <c r="O768" s="191"/>
      <c r="P768" s="191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1"/>
      <c r="F769" s="205"/>
      <c r="G769" s="205"/>
      <c r="H769"/>
      <c r="O769" s="191"/>
      <c r="P769" s="191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1"/>
      <c r="F770" s="205"/>
      <c r="G770" s="205"/>
      <c r="H770"/>
      <c r="O770" s="191"/>
      <c r="P770" s="191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1"/>
      <c r="F771" s="205"/>
      <c r="G771" s="205"/>
      <c r="H771"/>
      <c r="O771" s="191"/>
      <c r="P771" s="191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1"/>
      <c r="F772" s="205"/>
      <c r="G772"/>
      <c r="H772"/>
      <c r="O772" s="191"/>
      <c r="P772" s="191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1"/>
      <c r="F773" s="205"/>
      <c r="G773"/>
      <c r="H773"/>
      <c r="O773" s="191"/>
      <c r="P773" s="191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1"/>
      <c r="F774" s="205"/>
      <c r="G774" s="205"/>
      <c r="H774"/>
      <c r="O774" s="191"/>
      <c r="P774" s="191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1"/>
      <c r="F775" s="205"/>
      <c r="G775" s="205"/>
      <c r="H775"/>
      <c r="O775" s="191"/>
      <c r="P775" s="191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1"/>
      <c r="F776" s="205"/>
      <c r="G776" s="205"/>
      <c r="H776"/>
      <c r="O776" s="191"/>
      <c r="P776" s="191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1"/>
      <c r="F777" s="205"/>
      <c r="G777" s="205"/>
      <c r="H777"/>
      <c r="O777" s="191"/>
      <c r="P777" s="191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1"/>
      <c r="F778" s="205"/>
      <c r="G778" s="205"/>
      <c r="H778" s="205"/>
      <c r="O778" s="191"/>
      <c r="P778" s="191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1"/>
      <c r="F779" s="205"/>
      <c r="G779" s="205"/>
      <c r="H779"/>
      <c r="O779" s="191"/>
      <c r="P779" s="191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1"/>
      <c r="F780" s="205"/>
      <c r="G780" s="205"/>
      <c r="H780"/>
      <c r="O780" s="191"/>
      <c r="P780" s="191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1"/>
      <c r="F781" s="205"/>
      <c r="G781"/>
      <c r="H781"/>
      <c r="O781" s="191"/>
      <c r="P781" s="191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1"/>
      <c r="F782" s="205"/>
      <c r="G782" s="205"/>
      <c r="H782"/>
      <c r="O782" s="191"/>
      <c r="P782" s="191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1"/>
      <c r="F783" s="205"/>
      <c r="G783" s="205"/>
      <c r="H783"/>
      <c r="O783" s="191"/>
      <c r="P783" s="191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1"/>
      <c r="F784" s="205"/>
      <c r="G784"/>
      <c r="H784"/>
      <c r="O784" s="191"/>
      <c r="P784" s="191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1"/>
      <c r="F785" s="205"/>
      <c r="G785" s="205"/>
      <c r="H785"/>
      <c r="O785" s="191"/>
      <c r="P785" s="191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1"/>
      <c r="F786" s="205"/>
      <c r="G786" s="205"/>
      <c r="H786"/>
      <c r="O786" s="191"/>
      <c r="P786" s="191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1"/>
      <c r="F787" s="205"/>
      <c r="G787" s="205"/>
      <c r="H787"/>
      <c r="O787" s="191"/>
      <c r="P787" s="191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1"/>
      <c r="F788" s="205"/>
      <c r="G788" s="205"/>
      <c r="H788"/>
      <c r="O788" s="191"/>
      <c r="P788" s="191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1"/>
      <c r="F789" s="205"/>
      <c r="G789" s="205"/>
      <c r="H789"/>
      <c r="O789" s="191"/>
      <c r="P789" s="191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1"/>
      <c r="F790" s="205"/>
      <c r="G790" s="205"/>
      <c r="H790"/>
      <c r="O790" s="191"/>
      <c r="P790" s="191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1"/>
      <c r="F791" s="205"/>
      <c r="G791" s="205"/>
      <c r="H791"/>
      <c r="O791" s="191"/>
      <c r="P791" s="191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1"/>
      <c r="F792" s="205"/>
      <c r="G792" s="205"/>
      <c r="H792" s="205"/>
      <c r="O792" s="191"/>
      <c r="P792" s="191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1"/>
      <c r="F793" s="205"/>
      <c r="G793"/>
      <c r="H793"/>
      <c r="O793" s="191"/>
      <c r="P793" s="191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1"/>
      <c r="F794" s="205"/>
      <c r="G794" s="205"/>
      <c r="H794"/>
      <c r="O794" s="191"/>
      <c r="P794" s="191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1"/>
      <c r="F795" s="205"/>
      <c r="G795"/>
      <c r="H795"/>
      <c r="O795" s="191"/>
      <c r="P795" s="191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1"/>
      <c r="F796" s="205"/>
      <c r="G796"/>
      <c r="H796"/>
      <c r="O796" s="191"/>
      <c r="P796" s="191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1"/>
      <c r="F797" s="205"/>
      <c r="G797"/>
      <c r="H797"/>
      <c r="O797" s="191"/>
      <c r="P797" s="191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1"/>
      <c r="F798" s="205"/>
      <c r="G798" s="205"/>
      <c r="H798" s="205"/>
      <c r="O798" s="191"/>
      <c r="P798" s="191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1"/>
      <c r="F799" s="205"/>
      <c r="G799" s="205"/>
      <c r="H799"/>
      <c r="O799" s="191"/>
      <c r="P799" s="191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1"/>
      <c r="F800" s="205"/>
      <c r="G800" s="205"/>
      <c r="H800"/>
      <c r="O800" s="191"/>
      <c r="P800" s="191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1"/>
      <c r="F801" s="205"/>
      <c r="G801" s="205"/>
      <c r="H801"/>
      <c r="O801" s="191"/>
      <c r="P801" s="191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1"/>
      <c r="F802" s="205"/>
      <c r="G802"/>
      <c r="H802"/>
      <c r="O802" s="191"/>
      <c r="P802" s="191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1"/>
      <c r="F803" s="205"/>
      <c r="G803" s="205"/>
      <c r="H803"/>
      <c r="O803" s="191"/>
      <c r="P803" s="191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1"/>
      <c r="F804" s="205"/>
      <c r="G804"/>
      <c r="H804"/>
      <c r="O804" s="191"/>
      <c r="P804" s="191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1"/>
      <c r="F805" s="205"/>
      <c r="G805" s="205"/>
      <c r="H805"/>
      <c r="O805" s="191"/>
      <c r="P805" s="191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1"/>
      <c r="F806" s="205"/>
      <c r="G806"/>
      <c r="H806"/>
      <c r="O806" s="191"/>
      <c r="P806" s="191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1"/>
      <c r="F807" s="205"/>
      <c r="G807" s="205"/>
      <c r="H807"/>
      <c r="O807" s="191"/>
      <c r="P807" s="191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1"/>
      <c r="F808" s="205"/>
      <c r="G808" s="205"/>
      <c r="H808"/>
      <c r="O808" s="191"/>
      <c r="P808" s="191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1"/>
      <c r="F809" s="205"/>
      <c r="G809" s="205"/>
      <c r="H809" s="205"/>
      <c r="O809" s="191"/>
      <c r="P809" s="191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1"/>
      <c r="F810" s="205"/>
      <c r="G810" s="205"/>
      <c r="H810"/>
      <c r="O810" s="191"/>
      <c r="P810" s="191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1"/>
      <c r="F811" s="205"/>
      <c r="G811" s="205"/>
      <c r="H811"/>
      <c r="O811" s="191"/>
      <c r="P811" s="191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1"/>
      <c r="F812" s="205"/>
      <c r="G812" s="205"/>
      <c r="H812"/>
      <c r="O812" s="191"/>
      <c r="P812" s="191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1"/>
      <c r="F813" s="205"/>
      <c r="G813"/>
      <c r="H813"/>
      <c r="O813" s="191"/>
      <c r="P813" s="191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1"/>
      <c r="F814" s="205"/>
      <c r="G814"/>
      <c r="H814"/>
      <c r="O814" s="191"/>
      <c r="P814" s="191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1"/>
      <c r="F815" s="205"/>
      <c r="G815" s="205"/>
      <c r="H815"/>
      <c r="O815" s="191"/>
      <c r="P815" s="191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1"/>
      <c r="F816" s="205"/>
      <c r="G816" s="205"/>
      <c r="H816"/>
      <c r="O816" s="191"/>
      <c r="P816" s="191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1"/>
      <c r="F817" s="205"/>
      <c r="G817" s="205"/>
      <c r="H817"/>
      <c r="O817" s="191"/>
      <c r="P817" s="191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1"/>
      <c r="F818" s="205"/>
      <c r="G818" s="205"/>
      <c r="H818" s="205"/>
      <c r="O818" s="191"/>
      <c r="P818" s="191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1"/>
      <c r="F819" s="205"/>
      <c r="G819" s="205"/>
      <c r="H819"/>
      <c r="O819" s="191"/>
      <c r="P819" s="191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1"/>
      <c r="F820" s="205"/>
      <c r="G820" s="205"/>
      <c r="H820"/>
      <c r="O820" s="191"/>
      <c r="P820" s="191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1"/>
      <c r="F821" s="205"/>
      <c r="G821" s="205"/>
      <c r="H821"/>
      <c r="O821" s="191"/>
      <c r="P821" s="191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1"/>
      <c r="F822" s="205"/>
      <c r="G822" s="205"/>
      <c r="H822"/>
      <c r="O822" s="191"/>
      <c r="P822" s="191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1"/>
      <c r="F823" s="205"/>
      <c r="G823"/>
      <c r="H823"/>
      <c r="O823" s="191"/>
      <c r="P823" s="191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1"/>
      <c r="F824" s="205"/>
      <c r="G824" s="205"/>
      <c r="H824"/>
      <c r="O824" s="191"/>
      <c r="P824" s="191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1"/>
      <c r="F825" s="205"/>
      <c r="G825" s="205"/>
      <c r="H825" s="205"/>
      <c r="O825" s="191"/>
      <c r="P825" s="191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1"/>
      <c r="F826" s="205"/>
      <c r="G826"/>
      <c r="H826"/>
      <c r="O826" s="191"/>
      <c r="P826" s="191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1"/>
      <c r="F827" s="205"/>
      <c r="G827"/>
      <c r="H827"/>
      <c r="O827" s="191"/>
      <c r="P827" s="191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1"/>
      <c r="F828" s="205"/>
      <c r="G828" s="205"/>
      <c r="H828" s="205"/>
      <c r="O828" s="191"/>
      <c r="P828" s="191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1"/>
      <c r="F829" s="205"/>
      <c r="G829"/>
      <c r="H829"/>
      <c r="O829" s="191"/>
      <c r="P829" s="191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1"/>
      <c r="F830" s="205"/>
      <c r="G830" s="205"/>
      <c r="H830"/>
      <c r="O830" s="191"/>
      <c r="P830" s="191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1"/>
      <c r="F831" s="205"/>
      <c r="G831"/>
      <c r="H831"/>
      <c r="O831" s="191"/>
      <c r="P831" s="191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1"/>
      <c r="F832" s="205"/>
      <c r="G832" s="205"/>
      <c r="H832"/>
      <c r="O832" s="191"/>
      <c r="P832" s="191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1"/>
      <c r="F833" s="205"/>
      <c r="G833" s="205"/>
      <c r="H833"/>
      <c r="O833" s="191"/>
      <c r="P833" s="191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1"/>
      <c r="F834" s="205"/>
      <c r="G834" s="205"/>
      <c r="H834"/>
      <c r="O834" s="191"/>
      <c r="P834" s="191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1"/>
      <c r="F835" s="205"/>
      <c r="G835" s="205"/>
      <c r="H835"/>
      <c r="O835" s="191"/>
      <c r="P835" s="191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1"/>
      <c r="F836" s="205"/>
      <c r="G836" s="205"/>
      <c r="H836"/>
      <c r="O836" s="191"/>
      <c r="P836" s="191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1"/>
      <c r="F837" s="205"/>
      <c r="G837"/>
      <c r="H837"/>
      <c r="O837" s="191"/>
      <c r="P837" s="191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1"/>
      <c r="F838" s="205"/>
      <c r="G838" s="205"/>
      <c r="H838"/>
      <c r="O838" s="191"/>
      <c r="P838" s="191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1"/>
      <c r="F839" s="205"/>
      <c r="G839" s="205"/>
      <c r="H839"/>
      <c r="O839" s="191"/>
      <c r="P839" s="191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1"/>
      <c r="F840" s="205"/>
      <c r="G840" s="205"/>
      <c r="H840"/>
      <c r="O840" s="191"/>
      <c r="P840" s="191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1"/>
      <c r="F841" s="205"/>
      <c r="G841" s="205"/>
      <c r="H841"/>
      <c r="O841" s="191"/>
      <c r="P841" s="191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1"/>
      <c r="F842" s="205"/>
      <c r="G842" s="205"/>
      <c r="H842"/>
      <c r="O842" s="191"/>
      <c r="P842" s="191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1"/>
      <c r="F843" s="205"/>
      <c r="G843" s="205"/>
      <c r="H843"/>
      <c r="O843" s="191"/>
      <c r="P843" s="191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1"/>
      <c r="F844" s="205"/>
      <c r="G844"/>
      <c r="H844"/>
      <c r="O844" s="191"/>
      <c r="P844" s="191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1"/>
      <c r="F845" s="205"/>
      <c r="G845" s="205"/>
      <c r="H845"/>
      <c r="O845" s="191"/>
      <c r="P845" s="191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1"/>
      <c r="F846" s="205"/>
      <c r="G846" s="205"/>
      <c r="H846"/>
      <c r="O846" s="191"/>
      <c r="P846" s="191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1"/>
      <c r="F847" s="205"/>
      <c r="G847" s="205"/>
      <c r="H847"/>
      <c r="O847" s="191"/>
      <c r="P847" s="191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1"/>
      <c r="F848" s="205"/>
      <c r="G848" s="205"/>
      <c r="H848"/>
      <c r="O848" s="191"/>
      <c r="P848" s="191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1"/>
      <c r="F849" s="205"/>
      <c r="G849" s="205"/>
      <c r="H849"/>
      <c r="O849" s="191"/>
      <c r="P849" s="191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1"/>
      <c r="F850" s="205"/>
      <c r="G850" s="205"/>
      <c r="H850"/>
      <c r="O850" s="191"/>
      <c r="P850" s="191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1"/>
      <c r="F851" s="205"/>
      <c r="G851" s="205"/>
      <c r="H851"/>
      <c r="O851" s="191"/>
      <c r="P851" s="191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1"/>
      <c r="F852" s="205"/>
      <c r="G852" s="205"/>
      <c r="H852"/>
      <c r="O852" s="191"/>
      <c r="P852" s="191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1"/>
      <c r="F853" s="205"/>
      <c r="G853"/>
      <c r="H853"/>
      <c r="O853" s="191"/>
      <c r="P853" s="191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1"/>
      <c r="F854" s="205"/>
      <c r="G854"/>
      <c r="H854"/>
      <c r="O854" s="191"/>
      <c r="P854" s="191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1"/>
      <c r="F855" s="205"/>
      <c r="G855"/>
      <c r="H855"/>
      <c r="O855" s="191"/>
      <c r="P855" s="191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1"/>
      <c r="F856" s="205"/>
      <c r="G856" s="205"/>
      <c r="H856"/>
      <c r="O856" s="191"/>
      <c r="P856" s="191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1"/>
      <c r="F857" s="205"/>
      <c r="G857" s="205"/>
      <c r="H857"/>
      <c r="O857" s="191"/>
      <c r="P857" s="191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1"/>
      <c r="F858" s="205"/>
      <c r="G858" s="205"/>
      <c r="H858" s="205"/>
      <c r="O858" s="191"/>
      <c r="P858" s="191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1"/>
      <c r="F859" s="205"/>
      <c r="G859" s="205"/>
      <c r="H859"/>
      <c r="O859" s="191"/>
      <c r="P859" s="191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1"/>
      <c r="F860" s="205"/>
      <c r="G860"/>
      <c r="H860"/>
      <c r="O860" s="191"/>
      <c r="P860" s="191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1"/>
      <c r="F861" s="205"/>
      <c r="G861" s="205"/>
      <c r="H861"/>
      <c r="O861" s="191"/>
      <c r="P861" s="191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1"/>
      <c r="F862" s="205"/>
      <c r="G862" s="205"/>
      <c r="H862"/>
      <c r="O862" s="191"/>
      <c r="P862" s="191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1"/>
      <c r="F863" s="205"/>
      <c r="G863" s="205"/>
      <c r="H863"/>
      <c r="O863" s="191"/>
      <c r="P863" s="191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1"/>
      <c r="F864" s="205"/>
      <c r="G864" s="205"/>
      <c r="H864"/>
      <c r="O864" s="191"/>
      <c r="P864" s="191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1"/>
      <c r="F865" s="205"/>
      <c r="G865" s="205"/>
      <c r="H865"/>
      <c r="O865" s="191"/>
      <c r="P865" s="191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1"/>
      <c r="F866" s="205"/>
      <c r="G866" s="205"/>
      <c r="H866"/>
      <c r="O866" s="191"/>
      <c r="P866" s="191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1"/>
      <c r="F867" s="205"/>
      <c r="G867" s="205"/>
      <c r="H867"/>
      <c r="O867" s="191"/>
      <c r="P867" s="191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1"/>
      <c r="F868" s="205"/>
      <c r="G868" s="205"/>
      <c r="H868" s="205"/>
      <c r="O868" s="191"/>
      <c r="P868" s="191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1"/>
      <c r="F869" s="205"/>
      <c r="G869" s="205"/>
      <c r="H869"/>
      <c r="O869" s="191"/>
      <c r="P869" s="191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1"/>
      <c r="F870" s="205"/>
      <c r="G870" s="205"/>
      <c r="H870"/>
      <c r="O870" s="191"/>
      <c r="P870" s="191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1"/>
      <c r="F871" s="205"/>
      <c r="G871"/>
      <c r="H871"/>
      <c r="O871" s="191"/>
      <c r="P871" s="191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1"/>
      <c r="F872" s="205"/>
      <c r="G872"/>
      <c r="H872"/>
      <c r="O872" s="191"/>
      <c r="P872" s="191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1"/>
      <c r="F873" s="205"/>
      <c r="G873"/>
      <c r="H873"/>
      <c r="O873" s="191"/>
      <c r="P873" s="191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1"/>
      <c r="F874" s="205"/>
      <c r="G874" s="205"/>
      <c r="H874" s="205"/>
      <c r="O874" s="191"/>
      <c r="P874" s="191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1"/>
      <c r="F875" s="205"/>
      <c r="G875" s="205"/>
      <c r="H875"/>
      <c r="O875" s="191"/>
      <c r="P875" s="191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1"/>
      <c r="F876" s="205"/>
      <c r="G876" s="205"/>
      <c r="H876"/>
      <c r="O876" s="191"/>
      <c r="P876" s="191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1"/>
      <c r="F877" s="205"/>
      <c r="G877"/>
      <c r="H877"/>
      <c r="O877" s="191"/>
      <c r="P877" s="191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1"/>
      <c r="F878" s="205"/>
      <c r="G878" s="205"/>
      <c r="H878"/>
      <c r="O878" s="191"/>
      <c r="P878" s="191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1"/>
      <c r="F879" s="205"/>
      <c r="G879" s="205"/>
      <c r="H879"/>
      <c r="O879" s="191"/>
      <c r="P879" s="191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1"/>
      <c r="F880" s="205"/>
      <c r="G880" s="205"/>
      <c r="H880"/>
      <c r="O880" s="191"/>
      <c r="P880" s="191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1"/>
      <c r="F881" s="205"/>
      <c r="G881" s="205"/>
      <c r="H881"/>
      <c r="O881" s="191"/>
      <c r="P881" s="191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1"/>
      <c r="F882" s="205"/>
      <c r="G882" s="205"/>
      <c r="H882"/>
      <c r="O882" s="191"/>
      <c r="P882" s="191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1"/>
      <c r="F883" s="205"/>
      <c r="G883"/>
      <c r="H883"/>
      <c r="O883" s="191"/>
      <c r="P883" s="191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1"/>
      <c r="F884" s="205"/>
      <c r="G884" s="205"/>
      <c r="H884"/>
      <c r="O884" s="191"/>
      <c r="P884" s="191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1"/>
      <c r="F885" s="205"/>
      <c r="G885"/>
      <c r="H885"/>
      <c r="O885" s="191"/>
      <c r="P885" s="191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1"/>
      <c r="F886" s="205"/>
      <c r="G886" s="205"/>
      <c r="H886"/>
      <c r="O886" s="191"/>
      <c r="P886" s="191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1"/>
      <c r="F887" s="205"/>
      <c r="G887" s="205"/>
      <c r="H887"/>
      <c r="O887" s="191"/>
      <c r="P887" s="191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1"/>
      <c r="F888" s="205"/>
      <c r="G888" s="205"/>
      <c r="H888"/>
      <c r="O888" s="191"/>
      <c r="P888" s="191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1"/>
      <c r="F889" s="205"/>
      <c r="G889"/>
      <c r="H889"/>
      <c r="O889" s="191"/>
      <c r="P889" s="191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1"/>
      <c r="F890" s="205"/>
      <c r="G890" s="205"/>
      <c r="H890"/>
      <c r="O890" s="191"/>
      <c r="P890" s="191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1"/>
      <c r="F891" s="205"/>
      <c r="G891" s="205"/>
      <c r="H891"/>
      <c r="O891" s="191"/>
      <c r="P891" s="191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1"/>
      <c r="F892" s="205"/>
      <c r="G892" s="205"/>
      <c r="H892"/>
      <c r="O892" s="191"/>
      <c r="P892" s="191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1"/>
      <c r="F893" s="205"/>
      <c r="G893" s="205"/>
      <c r="H893"/>
      <c r="O893" s="191"/>
      <c r="P893" s="191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1"/>
      <c r="F894" s="205"/>
      <c r="G894" s="205"/>
      <c r="H894"/>
      <c r="O894" s="191"/>
      <c r="P894" s="191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1"/>
      <c r="F895" s="205"/>
      <c r="G895" s="205"/>
      <c r="H895"/>
      <c r="O895" s="191"/>
      <c r="P895" s="191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1"/>
      <c r="F896" s="205"/>
      <c r="G896"/>
      <c r="H896"/>
      <c r="O896" s="191"/>
      <c r="P896" s="191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1"/>
      <c r="F897" s="205"/>
      <c r="G897" s="205"/>
      <c r="H897"/>
      <c r="O897" s="191"/>
      <c r="P897" s="191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1"/>
      <c r="F898" s="205"/>
      <c r="G898" s="205"/>
      <c r="H898" s="205"/>
      <c r="O898" s="191"/>
      <c r="P898" s="191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1"/>
      <c r="F899" s="205"/>
      <c r="G899" s="205"/>
      <c r="H899" s="205"/>
      <c r="O899" s="191"/>
      <c r="P899" s="191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1"/>
      <c r="F900" s="205"/>
      <c r="G900"/>
      <c r="H900"/>
      <c r="O900" s="191"/>
      <c r="P900" s="191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1"/>
      <c r="F901" s="205"/>
      <c r="G901" s="205"/>
      <c r="H901"/>
      <c r="O901" s="191"/>
      <c r="P901" s="191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1"/>
      <c r="F902" s="205"/>
      <c r="G902"/>
      <c r="H902"/>
      <c r="O902" s="191"/>
      <c r="P902" s="191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1"/>
      <c r="F903"/>
      <c r="G903"/>
      <c r="H903"/>
      <c r="O903" s="191"/>
      <c r="P903" s="191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1"/>
      <c r="F904" s="205"/>
      <c r="G904"/>
      <c r="H904"/>
      <c r="O904" s="191"/>
      <c r="P904" s="191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1"/>
      <c r="F905" s="205"/>
      <c r="G905"/>
      <c r="H905"/>
      <c r="O905" s="191"/>
      <c r="P905" s="191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1"/>
      <c r="F906" s="205"/>
      <c r="G906"/>
      <c r="H906"/>
      <c r="O906" s="191"/>
      <c r="P906" s="191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1"/>
      <c r="F907" s="205"/>
      <c r="G907" s="205"/>
      <c r="H907"/>
      <c r="O907" s="191"/>
      <c r="P907" s="191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1"/>
      <c r="F908" s="205"/>
      <c r="G908" s="205"/>
      <c r="H908"/>
      <c r="O908" s="191"/>
      <c r="P908" s="191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1"/>
      <c r="F909" s="205"/>
      <c r="G909" s="205"/>
      <c r="H909"/>
      <c r="O909" s="191"/>
      <c r="P909" s="191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1"/>
      <c r="F910" s="205"/>
      <c r="G910" s="205"/>
      <c r="H910"/>
      <c r="O910" s="191"/>
      <c r="P910" s="191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1"/>
      <c r="F911" s="205"/>
      <c r="G911" s="205"/>
      <c r="H911"/>
      <c r="O911" s="191"/>
      <c r="P911" s="191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1"/>
      <c r="F912" s="205"/>
      <c r="G912" s="205"/>
      <c r="H912"/>
      <c r="O912" s="191"/>
      <c r="P912" s="191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1"/>
      <c r="F913" s="205"/>
      <c r="G913" s="205"/>
      <c r="H913"/>
      <c r="O913" s="191"/>
      <c r="P913" s="191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1"/>
      <c r="F914" s="205"/>
      <c r="G914" s="205"/>
      <c r="H914"/>
      <c r="O914" s="191"/>
      <c r="P914" s="191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1"/>
      <c r="F915" s="205"/>
      <c r="G915" s="205"/>
      <c r="H915"/>
      <c r="O915" s="191"/>
      <c r="P915" s="191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1"/>
      <c r="F916" s="205"/>
      <c r="G916" s="205"/>
      <c r="H916"/>
      <c r="O916" s="191"/>
      <c r="P916" s="191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1"/>
      <c r="F917" s="205"/>
      <c r="G917"/>
      <c r="H917"/>
      <c r="O917" s="191"/>
      <c r="P917" s="191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1"/>
      <c r="F918" s="205"/>
      <c r="G918"/>
      <c r="H918"/>
      <c r="O918" s="191"/>
      <c r="P918" s="191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1"/>
      <c r="F919" s="205"/>
      <c r="G919" s="205"/>
      <c r="H919"/>
      <c r="O919" s="191"/>
      <c r="P919" s="191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1"/>
      <c r="F920" s="205"/>
      <c r="G920" s="205"/>
      <c r="H920"/>
      <c r="O920" s="191"/>
      <c r="P920" s="191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1"/>
      <c r="F921" s="205"/>
      <c r="G921"/>
      <c r="H921"/>
      <c r="O921" s="191"/>
      <c r="P921" s="191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1"/>
      <c r="F922" s="205"/>
      <c r="G922"/>
      <c r="H922"/>
      <c r="O922" s="191"/>
      <c r="P922" s="191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1"/>
      <c r="F923" s="205"/>
      <c r="G923" s="205"/>
      <c r="H923"/>
      <c r="O923" s="191"/>
      <c r="P923" s="191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1"/>
      <c r="F924" s="205"/>
      <c r="G924" s="205"/>
      <c r="H924"/>
      <c r="O924" s="191"/>
      <c r="P924" s="191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1"/>
      <c r="F925" s="205"/>
      <c r="G925" s="205"/>
      <c r="H925" s="205"/>
      <c r="O925" s="191"/>
      <c r="P925" s="191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1"/>
      <c r="F926" s="205"/>
      <c r="G926" s="205"/>
      <c r="H926"/>
      <c r="O926" s="191"/>
      <c r="P926" s="191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1"/>
      <c r="F927" s="205"/>
      <c r="G927" s="205"/>
      <c r="H927"/>
      <c r="O927" s="191"/>
      <c r="P927" s="191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1"/>
      <c r="F928" s="205"/>
      <c r="G928" s="205"/>
      <c r="H928" s="205"/>
      <c r="O928" s="191"/>
      <c r="P928" s="191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1"/>
      <c r="F929" s="205"/>
      <c r="G929" s="205"/>
      <c r="H929"/>
      <c r="O929" s="191"/>
      <c r="P929" s="191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1"/>
      <c r="F930" s="205"/>
      <c r="G930" s="205"/>
      <c r="H930"/>
      <c r="O930" s="191"/>
      <c r="P930" s="191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1"/>
      <c r="F931" s="205"/>
      <c r="G931"/>
      <c r="H931"/>
      <c r="O931" s="191"/>
      <c r="P931" s="191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1"/>
      <c r="F932" s="205"/>
      <c r="G932" s="205"/>
      <c r="H932"/>
      <c r="O932" s="191"/>
      <c r="P932" s="191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1"/>
      <c r="F933" s="205"/>
      <c r="G933" s="205"/>
      <c r="H933"/>
      <c r="O933" s="191"/>
      <c r="P933" s="191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1"/>
      <c r="F934" s="205"/>
      <c r="G934" s="205"/>
      <c r="H934"/>
      <c r="O934" s="191"/>
      <c r="P934" s="191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1"/>
      <c r="F935" s="205"/>
      <c r="G935" s="205"/>
      <c r="H935"/>
      <c r="O935" s="191"/>
      <c r="P935" s="191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1"/>
      <c r="F936" s="205"/>
      <c r="G936"/>
      <c r="H936"/>
      <c r="O936" s="191"/>
      <c r="P936" s="191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1"/>
      <c r="F937" s="205"/>
      <c r="G937" s="205"/>
      <c r="H937"/>
      <c r="O937" s="191"/>
      <c r="P937" s="191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1"/>
      <c r="F938" s="205"/>
      <c r="G938" s="205"/>
      <c r="H938" s="205"/>
      <c r="O938" s="191"/>
      <c r="P938" s="191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1"/>
      <c r="F939" s="205"/>
      <c r="G939" s="205"/>
      <c r="H939"/>
      <c r="O939" s="191"/>
      <c r="P939" s="191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1"/>
      <c r="F940" s="205"/>
      <c r="G940"/>
      <c r="H940"/>
      <c r="O940" s="191"/>
      <c r="P940" s="191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1"/>
      <c r="F941" s="205"/>
      <c r="G941" s="205"/>
      <c r="H941"/>
      <c r="O941" s="191"/>
      <c r="P941" s="191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1"/>
      <c r="F942" s="205"/>
      <c r="G942" s="205"/>
      <c r="H942"/>
      <c r="O942" s="191"/>
      <c r="P942" s="191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1"/>
      <c r="F943" s="205"/>
      <c r="G943" s="205"/>
      <c r="H943" s="205"/>
      <c r="O943" s="191"/>
      <c r="P943" s="191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1"/>
      <c r="F944" s="205"/>
      <c r="G944" s="205"/>
      <c r="H944"/>
      <c r="O944" s="191"/>
      <c r="P944" s="191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1"/>
      <c r="F945" s="205"/>
      <c r="G945" s="205"/>
      <c r="H945" s="205"/>
      <c r="O945" s="191"/>
      <c r="P945" s="191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1"/>
      <c r="F946" s="205"/>
      <c r="G946" s="205"/>
      <c r="H946" s="205"/>
      <c r="O946" s="191"/>
      <c r="P946" s="191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1"/>
      <c r="F947" s="205"/>
      <c r="G947" s="205"/>
      <c r="H947" s="205"/>
      <c r="O947" s="191"/>
      <c r="P947" s="191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1"/>
      <c r="F948" s="205"/>
      <c r="G948"/>
      <c r="H948"/>
      <c r="O948" s="191"/>
      <c r="P948" s="191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1"/>
      <c r="F949" s="205"/>
      <c r="G949" s="205"/>
      <c r="H949"/>
      <c r="O949" s="191"/>
      <c r="P949" s="191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1"/>
      <c r="F950" s="205"/>
      <c r="G950" s="205"/>
      <c r="H950"/>
      <c r="O950" s="191"/>
      <c r="P950" s="191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1"/>
      <c r="F951" s="205"/>
      <c r="G951" s="205"/>
      <c r="H951"/>
      <c r="O951" s="191"/>
      <c r="P951" s="191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1"/>
      <c r="F952" s="205"/>
      <c r="G952" s="205"/>
      <c r="H952"/>
      <c r="O952" s="191"/>
      <c r="P952" s="191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1"/>
      <c r="F953" s="205"/>
      <c r="G953" s="205"/>
      <c r="H953"/>
      <c r="O953" s="191"/>
      <c r="P953" s="191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1"/>
      <c r="F954" s="205"/>
      <c r="G954" s="205"/>
      <c r="H954"/>
      <c r="O954" s="191"/>
      <c r="P954" s="191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1"/>
      <c r="F955" s="205"/>
      <c r="G955" s="205"/>
      <c r="H955"/>
      <c r="O955" s="191"/>
      <c r="P955" s="191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1"/>
      <c r="F956" s="205"/>
      <c r="G956"/>
      <c r="H956"/>
      <c r="O956" s="191"/>
      <c r="P956" s="191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1"/>
      <c r="F957" s="205"/>
      <c r="G957" s="205"/>
      <c r="H957"/>
      <c r="O957" s="191"/>
      <c r="P957" s="191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1"/>
      <c r="F958" s="205"/>
      <c r="G958" s="205"/>
      <c r="H958"/>
      <c r="O958" s="191"/>
      <c r="P958" s="191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1"/>
      <c r="F959" s="205"/>
      <c r="G959"/>
      <c r="H959"/>
      <c r="O959" s="191"/>
      <c r="P959" s="191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1"/>
      <c r="F960" s="205"/>
      <c r="G960" s="205"/>
      <c r="H960"/>
      <c r="O960" s="191"/>
      <c r="P960" s="191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1"/>
      <c r="F961" s="205"/>
      <c r="G961"/>
      <c r="H961"/>
      <c r="O961" s="191"/>
      <c r="P961" s="191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1"/>
      <c r="F962" s="205"/>
      <c r="G962"/>
      <c r="H962"/>
      <c r="O962" s="191"/>
      <c r="P962" s="191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1"/>
      <c r="F963" s="205"/>
      <c r="G963"/>
      <c r="H963"/>
      <c r="O963" s="191"/>
      <c r="P963" s="191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1"/>
      <c r="F964" s="205"/>
      <c r="G964" s="205"/>
      <c r="H964"/>
      <c r="O964" s="191"/>
      <c r="P964" s="191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1"/>
      <c r="F965" s="205"/>
      <c r="G965" s="205"/>
      <c r="H965"/>
      <c r="O965" s="191"/>
      <c r="P965" s="191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1"/>
      <c r="F966" s="205"/>
      <c r="G966" s="205"/>
      <c r="H966"/>
      <c r="O966" s="191"/>
      <c r="P966" s="191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1"/>
      <c r="F967" s="205"/>
      <c r="G967"/>
      <c r="H967"/>
      <c r="O967" s="191"/>
      <c r="P967" s="191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1"/>
      <c r="F968" s="205"/>
      <c r="G968" s="205"/>
      <c r="H968" s="205"/>
      <c r="O968" s="191"/>
      <c r="P968" s="191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1"/>
      <c r="F969" s="205"/>
      <c r="G969" s="205"/>
      <c r="H969"/>
      <c r="O969" s="191"/>
      <c r="P969" s="191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1"/>
      <c r="F970" s="205"/>
      <c r="G970" s="205"/>
      <c r="H970"/>
      <c r="O970" s="191"/>
      <c r="P970" s="191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1"/>
      <c r="F971" s="205"/>
      <c r="G971" s="205"/>
      <c r="H971"/>
      <c r="O971" s="191"/>
      <c r="P971" s="191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1"/>
      <c r="F972" s="205"/>
      <c r="G972" s="205"/>
      <c r="H972"/>
      <c r="O972" s="191"/>
      <c r="P972" s="191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1"/>
      <c r="F973" s="205"/>
      <c r="G973" s="205"/>
      <c r="H973"/>
      <c r="O973" s="191"/>
      <c r="P973" s="191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1"/>
      <c r="F974" s="205"/>
      <c r="G974" s="205"/>
      <c r="H974"/>
      <c r="O974" s="191"/>
      <c r="P974" s="191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1"/>
      <c r="F975" s="205"/>
      <c r="G975" s="205"/>
      <c r="H975"/>
      <c r="O975" s="191"/>
      <c r="P975" s="191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1"/>
      <c r="F976" s="205"/>
      <c r="G976" s="205"/>
      <c r="H976"/>
      <c r="O976" s="191"/>
      <c r="P976" s="191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1"/>
      <c r="F977" s="205"/>
      <c r="G977"/>
      <c r="H977"/>
      <c r="O977" s="191"/>
      <c r="P977" s="191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1"/>
      <c r="F978" s="205"/>
      <c r="G978"/>
      <c r="H978"/>
      <c r="O978" s="191"/>
      <c r="P978" s="191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1"/>
      <c r="F979" s="205"/>
      <c r="G979" s="205"/>
      <c r="H979" s="205"/>
      <c r="O979" s="191"/>
      <c r="P979" s="191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1"/>
      <c r="F980" s="205"/>
      <c r="G980"/>
      <c r="H980"/>
      <c r="O980" s="191"/>
      <c r="P980" s="191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1"/>
      <c r="F981" s="205"/>
      <c r="G981" s="205"/>
      <c r="H981"/>
      <c r="O981" s="191"/>
      <c r="P981" s="191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1"/>
      <c r="F982" s="205"/>
      <c r="G982" s="205"/>
      <c r="H982"/>
      <c r="O982" s="191"/>
      <c r="P982" s="191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1"/>
      <c r="F983" s="205"/>
      <c r="G983" s="205"/>
      <c r="H983"/>
      <c r="O983" s="191"/>
      <c r="P983" s="191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1"/>
      <c r="F984" s="205"/>
      <c r="G984" s="205"/>
      <c r="H984"/>
      <c r="O984" s="191"/>
      <c r="P984" s="191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1"/>
      <c r="F985" s="205"/>
      <c r="G985" s="205"/>
      <c r="H985"/>
      <c r="O985" s="191"/>
      <c r="P985" s="191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1"/>
      <c r="F986" s="205"/>
      <c r="G986" s="205"/>
      <c r="H986"/>
      <c r="O986" s="191"/>
      <c r="P986" s="191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1"/>
      <c r="F987" s="205"/>
      <c r="G987" s="205"/>
      <c r="H987"/>
      <c r="O987" s="191"/>
      <c r="P987" s="191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1"/>
      <c r="F988" s="205"/>
      <c r="G988" s="205"/>
      <c r="H988"/>
      <c r="O988" s="191"/>
      <c r="P988" s="191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1"/>
      <c r="F989" s="205"/>
      <c r="G989"/>
      <c r="H989"/>
      <c r="O989" s="191"/>
      <c r="P989" s="191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1"/>
      <c r="F990" s="205"/>
      <c r="G990" s="205"/>
      <c r="H990"/>
      <c r="O990" s="191"/>
      <c r="P990" s="191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1"/>
      <c r="F991" s="205"/>
      <c r="G991"/>
      <c r="H991"/>
      <c r="O991" s="191"/>
      <c r="P991" s="191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1"/>
      <c r="F992" s="205"/>
      <c r="G992" s="205"/>
      <c r="H992"/>
      <c r="O992" s="191"/>
      <c r="P992" s="191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1"/>
      <c r="F993" s="205"/>
      <c r="G993" s="205"/>
      <c r="H993"/>
      <c r="O993" s="191"/>
      <c r="P993" s="191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1"/>
      <c r="F994" s="205"/>
      <c r="G994" s="205"/>
      <c r="H994" s="205"/>
      <c r="O994" s="191"/>
      <c r="P994" s="191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1"/>
      <c r="F995" s="205"/>
      <c r="G995" s="205"/>
      <c r="H995"/>
      <c r="O995" s="191"/>
      <c r="P995" s="191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1"/>
      <c r="F996" s="205"/>
      <c r="G996"/>
      <c r="H996"/>
      <c r="O996" s="191"/>
      <c r="P996" s="191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1"/>
      <c r="F997" s="205"/>
      <c r="G997" s="205"/>
      <c r="H997"/>
      <c r="O997" s="191"/>
      <c r="P997" s="191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1"/>
      <c r="F998" s="205"/>
      <c r="G998" s="205"/>
      <c r="H998"/>
      <c r="O998" s="191"/>
      <c r="P998" s="191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1"/>
      <c r="F999" s="205"/>
      <c r="G999" s="205"/>
      <c r="H999"/>
      <c r="O999" s="191"/>
      <c r="P999" s="191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1"/>
      <c r="F1000" s="205"/>
      <c r="G1000" s="205"/>
      <c r="H1000"/>
      <c r="O1000" s="191"/>
      <c r="P1000" s="191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1"/>
      <c r="F1001" s="205"/>
      <c r="G1001" s="205"/>
      <c r="H1001" s="205"/>
      <c r="O1001" s="191"/>
      <c r="P1001" s="191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1"/>
      <c r="F1002" s="205"/>
      <c r="G1002" s="205"/>
      <c r="H1002"/>
      <c r="O1002" s="191"/>
      <c r="P1002" s="191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1"/>
      <c r="F1003" s="205"/>
      <c r="G1003" s="205"/>
      <c r="H1003"/>
      <c r="O1003" s="191"/>
      <c r="P1003" s="191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1"/>
      <c r="F1004" s="205"/>
      <c r="G1004" s="205"/>
      <c r="H1004"/>
      <c r="O1004" s="191"/>
      <c r="P1004" s="191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1"/>
      <c r="F1005" s="205"/>
      <c r="G1005" s="205"/>
      <c r="H1005"/>
      <c r="O1005" s="191"/>
      <c r="P1005" s="191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1"/>
      <c r="F1006" s="205"/>
      <c r="G1006" s="205"/>
      <c r="H1006"/>
      <c r="O1006" s="191"/>
      <c r="P1006" s="191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1"/>
      <c r="F1007" s="205"/>
      <c r="G1007" s="205"/>
      <c r="H1007"/>
      <c r="O1007" s="191"/>
      <c r="P1007" s="191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1"/>
      <c r="F1008" s="205"/>
      <c r="G1008" s="205"/>
      <c r="H1008"/>
      <c r="O1008" s="191"/>
      <c r="P1008" s="191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1"/>
      <c r="F1009" s="205"/>
      <c r="G1009" s="205"/>
      <c r="H1009"/>
      <c r="O1009" s="191"/>
      <c r="P1009" s="191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1"/>
      <c r="F1010" s="205"/>
      <c r="G1010"/>
      <c r="H1010"/>
      <c r="O1010" s="191"/>
      <c r="P1010" s="191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1"/>
      <c r="F1011" s="205"/>
      <c r="G1011" s="205"/>
      <c r="H1011"/>
      <c r="O1011" s="191"/>
      <c r="P1011" s="191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1"/>
      <c r="F1012" s="205"/>
      <c r="G1012" s="205"/>
      <c r="H1012" s="205"/>
      <c r="O1012" s="191"/>
      <c r="P1012" s="191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1"/>
      <c r="F1013" s="205"/>
      <c r="G1013" s="205"/>
      <c r="H1013"/>
      <c r="O1013" s="191"/>
      <c r="P1013" s="191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1"/>
      <c r="F1014" s="205"/>
      <c r="G1014" s="205"/>
      <c r="H1014"/>
      <c r="O1014" s="191"/>
      <c r="P1014" s="191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1"/>
      <c r="F1015" s="205"/>
      <c r="G1015"/>
      <c r="H1015"/>
      <c r="O1015" s="191"/>
      <c r="P1015" s="191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1"/>
      <c r="F1016" s="205"/>
      <c r="G1016"/>
      <c r="H1016"/>
      <c r="O1016" s="191"/>
      <c r="P1016" s="191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1"/>
      <c r="F1017" s="205"/>
      <c r="G1017" s="205"/>
      <c r="H1017"/>
      <c r="O1017" s="191"/>
      <c r="P1017" s="191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1"/>
      <c r="F1018" s="205"/>
      <c r="G1018" s="205"/>
      <c r="H1018"/>
      <c r="O1018" s="191"/>
      <c r="P1018" s="191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1"/>
      <c r="F1019" s="205"/>
      <c r="G1019" s="205"/>
      <c r="H1019" s="205"/>
      <c r="O1019" s="191"/>
      <c r="P1019" s="191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1"/>
      <c r="F1020" s="205"/>
      <c r="G1020" s="205"/>
      <c r="H1020"/>
      <c r="O1020" s="191"/>
      <c r="P1020" s="191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1"/>
      <c r="F1021" s="205"/>
      <c r="G1021" s="205"/>
      <c r="H1021"/>
      <c r="O1021" s="191"/>
      <c r="P1021" s="191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1"/>
      <c r="F1022" s="205"/>
      <c r="G1022"/>
      <c r="H1022"/>
      <c r="O1022" s="191"/>
      <c r="P1022" s="191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1"/>
      <c r="F1023" s="205"/>
      <c r="G1023" s="205"/>
      <c r="H1023"/>
      <c r="O1023" s="191"/>
      <c r="P1023" s="191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1"/>
      <c r="F1024" s="205"/>
      <c r="G1024" s="205"/>
      <c r="H1024"/>
      <c r="O1024" s="191"/>
      <c r="P1024" s="191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1"/>
      <c r="F1025" s="205"/>
      <c r="G1025" s="205"/>
      <c r="H1025"/>
      <c r="O1025" s="191"/>
      <c r="P1025" s="191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1"/>
      <c r="F1026" s="205"/>
      <c r="G1026" s="205"/>
      <c r="H1026" s="205"/>
      <c r="O1026" s="191"/>
      <c r="P1026" s="191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1"/>
      <c r="F1027" s="205"/>
      <c r="G1027" s="205"/>
      <c r="H1027"/>
      <c r="O1027" s="191"/>
      <c r="P1027" s="191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1"/>
      <c r="F1028" s="205"/>
      <c r="G1028" s="205"/>
      <c r="H1028"/>
      <c r="O1028" s="191"/>
      <c r="P1028" s="191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1"/>
      <c r="F1029" s="205"/>
      <c r="G1029" s="205"/>
      <c r="H1029"/>
      <c r="O1029" s="191"/>
      <c r="P1029" s="191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1"/>
      <c r="F1030" s="205"/>
      <c r="G1030"/>
      <c r="H1030"/>
      <c r="O1030" s="191"/>
      <c r="P1030" s="191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1"/>
      <c r="F1031" s="205"/>
      <c r="G1031" s="205"/>
      <c r="H1031"/>
      <c r="O1031" s="191"/>
      <c r="P1031" s="191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1"/>
      <c r="F1032" s="205"/>
      <c r="G1032" s="205"/>
      <c r="H1032"/>
      <c r="O1032" s="191"/>
      <c r="P1032" s="191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1"/>
      <c r="F1033" s="205"/>
      <c r="G1033" s="205"/>
      <c r="H1033"/>
      <c r="O1033" s="191"/>
      <c r="P1033" s="191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1"/>
      <c r="F1034" s="205"/>
      <c r="G1034" s="205"/>
      <c r="H1034"/>
      <c r="O1034" s="191"/>
      <c r="P1034" s="191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1"/>
      <c r="F1035" s="205"/>
      <c r="G1035" s="205"/>
      <c r="H1035"/>
      <c r="O1035" s="191"/>
      <c r="P1035" s="191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B5" sqref="B5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105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184</v>
      </c>
    </row>
    <row r="5" spans="2:13" ht="14.25" x14ac:dyDescent="0.2">
      <c r="B5" s="354" t="s">
        <v>1084</v>
      </c>
      <c r="C5" s="355"/>
      <c r="D5" s="355"/>
      <c r="E5" s="356"/>
    </row>
    <row r="6" spans="2:13" ht="14.25" customHeight="1" x14ac:dyDescent="0.2">
      <c r="B6" s="363"/>
      <c r="C6" s="364"/>
      <c r="D6" s="364"/>
      <c r="E6" s="365"/>
    </row>
    <row r="7" spans="2:13" ht="14.25" x14ac:dyDescent="0.2">
      <c r="B7" s="357" t="s">
        <v>1087</v>
      </c>
      <c r="C7" s="358"/>
      <c r="D7" s="359"/>
      <c r="E7" s="359"/>
    </row>
    <row r="8" spans="2:13" ht="14.25" customHeight="1" x14ac:dyDescent="0.2">
      <c r="B8" s="363"/>
      <c r="C8" s="364"/>
      <c r="D8" s="364"/>
      <c r="E8" s="365"/>
    </row>
    <row r="9" spans="2:13" ht="14.25" x14ac:dyDescent="0.2">
      <c r="B9" s="354" t="s">
        <v>1086</v>
      </c>
      <c r="C9" s="355"/>
      <c r="D9" s="355"/>
      <c r="E9" s="356"/>
    </row>
    <row r="10" spans="2:13" ht="14.25" customHeight="1" x14ac:dyDescent="0.2">
      <c r="B10" s="363"/>
      <c r="C10" s="364"/>
      <c r="D10" s="364"/>
      <c r="E10" s="365"/>
    </row>
    <row r="11" spans="2:13" ht="14.25" x14ac:dyDescent="0.2">
      <c r="B11" s="360" t="s">
        <v>1083</v>
      </c>
      <c r="C11" s="359"/>
      <c r="D11" s="359"/>
      <c r="E11" s="361"/>
    </row>
    <row r="12" spans="2:13" ht="15" customHeight="1" x14ac:dyDescent="0.2">
      <c r="B12" s="363"/>
      <c r="C12" s="364"/>
      <c r="D12" s="365"/>
      <c r="E12" s="362"/>
    </row>
    <row r="13" spans="2:13" ht="14.25" x14ac:dyDescent="0.2">
      <c r="B13" s="360" t="s">
        <v>1085</v>
      </c>
      <c r="C13" s="359"/>
      <c r="D13" s="359"/>
      <c r="E13" s="48"/>
    </row>
    <row r="14" spans="2:13" ht="14.25" x14ac:dyDescent="0.2">
      <c r="B14" s="366"/>
      <c r="C14" s="364"/>
      <c r="D14" s="365"/>
      <c r="E14" s="48"/>
    </row>
    <row r="16" spans="2:13" x14ac:dyDescent="0.2">
      <c r="B16" s="64"/>
      <c r="C16" s="152"/>
      <c r="D16" s="153"/>
      <c r="E16" s="153"/>
      <c r="G16" s="64"/>
    </row>
    <row r="17" spans="2:19" ht="15" x14ac:dyDescent="0.2">
      <c r="B17" s="64"/>
      <c r="C17" s="152"/>
      <c r="D17" s="153"/>
      <c r="E17" s="153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1048</v>
      </c>
      <c r="C18" s="46"/>
      <c r="D18" s="46"/>
      <c r="E18" s="46"/>
      <c r="F18" s="45"/>
      <c r="I18" s="46" t="s">
        <v>185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1049</v>
      </c>
      <c r="I20" s="281" t="s">
        <v>186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1050</v>
      </c>
      <c r="C21" s="152"/>
      <c r="D21" s="153"/>
      <c r="E21" s="153"/>
      <c r="F21" s="266"/>
      <c r="G21" s="64" t="s">
        <v>64</v>
      </c>
      <c r="I21" s="131"/>
      <c r="J21" s="101"/>
      <c r="K21" s="373" t="s">
        <v>187</v>
      </c>
      <c r="L21" s="375" t="s">
        <v>188</v>
      </c>
      <c r="M21" s="5"/>
      <c r="R21" s="2"/>
      <c r="S21" s="48"/>
    </row>
    <row r="22" spans="2:19" ht="17.25" customHeight="1" x14ac:dyDescent="0.2">
      <c r="B22" s="64" t="s">
        <v>1051</v>
      </c>
      <c r="C22" s="152"/>
      <c r="D22" s="153"/>
      <c r="E22" s="153"/>
      <c r="F22" s="266"/>
      <c r="G22" s="64" t="s">
        <v>64</v>
      </c>
      <c r="I22" s="133"/>
      <c r="J22" s="132"/>
      <c r="K22" s="374"/>
      <c r="L22" s="376"/>
      <c r="S22" s="60"/>
    </row>
    <row r="23" spans="2:19" x14ac:dyDescent="0.2">
      <c r="B23" s="64" t="s">
        <v>1052</v>
      </c>
      <c r="C23" s="152"/>
      <c r="D23" s="153"/>
      <c r="E23" s="153"/>
      <c r="F23" s="49"/>
      <c r="G23" s="64" t="s">
        <v>131</v>
      </c>
      <c r="I23" s="131"/>
      <c r="J23" s="101"/>
      <c r="K23" s="101"/>
      <c r="L23" s="130"/>
      <c r="S23" s="60"/>
    </row>
    <row r="24" spans="2:19" x14ac:dyDescent="0.2">
      <c r="B24" s="56" t="s">
        <v>1053</v>
      </c>
      <c r="F24" s="167">
        <f>IFERROR(INT(F21/F23),0)</f>
        <v>0</v>
      </c>
      <c r="G24" s="265" t="s">
        <v>130</v>
      </c>
      <c r="I24" s="126" t="s">
        <v>67</v>
      </c>
      <c r="J24" s="129" t="s">
        <v>63</v>
      </c>
      <c r="K24" s="165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1054</v>
      </c>
      <c r="C25" s="152"/>
      <c r="D25" s="153"/>
      <c r="E25" s="153"/>
      <c r="F25" s="167">
        <f>IFERROR(INT(F22/F23),0)</f>
        <v>0</v>
      </c>
      <c r="G25" s="265" t="s">
        <v>130</v>
      </c>
      <c r="I25" s="127"/>
      <c r="J25" s="95"/>
      <c r="K25" s="48"/>
      <c r="L25" s="96"/>
      <c r="S25" s="60"/>
    </row>
    <row r="26" spans="2:19" x14ac:dyDescent="0.2">
      <c r="B26" s="56" t="s">
        <v>1055</v>
      </c>
      <c r="F26" s="266"/>
      <c r="G26" s="265" t="s">
        <v>130</v>
      </c>
      <c r="I26" s="221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1056</v>
      </c>
      <c r="F27" s="266"/>
      <c r="G27" s="265" t="s">
        <v>130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2" t="s">
        <v>1057</v>
      </c>
      <c r="I29" s="367" t="s">
        <v>189</v>
      </c>
      <c r="J29" s="368"/>
      <c r="K29" s="368"/>
      <c r="L29" s="369"/>
      <c r="S29" s="60"/>
    </row>
    <row r="30" spans="2:19" ht="12.75" customHeight="1" x14ac:dyDescent="0.2">
      <c r="B30" s="68" t="s">
        <v>1058</v>
      </c>
      <c r="C30" s="152"/>
      <c r="D30" s="153"/>
      <c r="E30" s="153"/>
      <c r="F30" s="176">
        <f>RedBasica!$K$11</f>
        <v>0</v>
      </c>
      <c r="G30" s="56" t="s">
        <v>130</v>
      </c>
      <c r="I30" s="370"/>
      <c r="J30" s="371"/>
      <c r="K30" s="371"/>
      <c r="L30" s="372"/>
      <c r="S30" s="60"/>
    </row>
    <row r="31" spans="2:19" x14ac:dyDescent="0.2">
      <c r="B31" s="68" t="s">
        <v>1059</v>
      </c>
      <c r="C31" s="152"/>
      <c r="D31" s="153"/>
      <c r="E31" s="153"/>
      <c r="F31" s="176">
        <f>RedBasica!$L$11</f>
        <v>0</v>
      </c>
      <c r="G31" s="265" t="s">
        <v>130</v>
      </c>
      <c r="S31" s="60"/>
    </row>
    <row r="32" spans="2:19" x14ac:dyDescent="0.2">
      <c r="B32" s="64" t="s">
        <v>1060</v>
      </c>
      <c r="C32" s="153"/>
      <c r="D32" s="153"/>
      <c r="E32" s="164" t="s">
        <v>65</v>
      </c>
      <c r="F32" s="175">
        <f>L24</f>
        <v>0</v>
      </c>
      <c r="G32" s="152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1061</v>
      </c>
      <c r="C33" s="153"/>
      <c r="D33" s="153"/>
      <c r="E33" s="164" t="s">
        <v>66</v>
      </c>
      <c r="F33" s="176">
        <f>K24</f>
        <v>0</v>
      </c>
      <c r="G33" s="152" t="s">
        <v>61</v>
      </c>
      <c r="I33" s="281" t="s">
        <v>190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1062</v>
      </c>
      <c r="I34" s="131"/>
      <c r="J34" s="377" t="s">
        <v>191</v>
      </c>
      <c r="K34" s="377" t="s">
        <v>192</v>
      </c>
      <c r="L34" s="379" t="s">
        <v>193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1063</v>
      </c>
      <c r="C35" s="152"/>
      <c r="D35" s="153"/>
      <c r="E35" s="153"/>
      <c r="F35" s="118" t="s">
        <v>129</v>
      </c>
      <c r="G35" s="140" t="s">
        <v>32</v>
      </c>
      <c r="I35" s="131"/>
      <c r="J35" s="377"/>
      <c r="K35" s="377"/>
      <c r="L35" s="379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1064</v>
      </c>
      <c r="C36" s="152"/>
      <c r="D36" s="153"/>
      <c r="E36" s="153"/>
      <c r="F36" s="174">
        <f>IFERROR(IF(F35="Si",L40,0),0)</f>
        <v>0</v>
      </c>
      <c r="G36" s="152" t="s">
        <v>14</v>
      </c>
      <c r="I36" s="131"/>
      <c r="J36" s="378"/>
      <c r="K36" s="378"/>
      <c r="L36" s="380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1065</v>
      </c>
      <c r="C37" s="152"/>
      <c r="D37" s="153"/>
      <c r="E37" s="153"/>
      <c r="F37" s="174">
        <f>IFERROR(IF(F35="Si",L38,0),0)</f>
        <v>0</v>
      </c>
      <c r="G37" s="152" t="s">
        <v>14</v>
      </c>
      <c r="I37" s="131"/>
      <c r="J37" s="101"/>
      <c r="L37" s="130"/>
    </row>
    <row r="38" spans="2:19" ht="12.6" customHeight="1" x14ac:dyDescent="0.2">
      <c r="I38" s="137" t="s">
        <v>194</v>
      </c>
      <c r="J38" s="163">
        <f>F22</f>
        <v>0</v>
      </c>
      <c r="K38" s="163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1066</v>
      </c>
      <c r="I39" s="131"/>
      <c r="J39" s="101"/>
      <c r="K39" s="101"/>
      <c r="L39" s="130"/>
    </row>
    <row r="40" spans="2:19" ht="12.75" customHeight="1" x14ac:dyDescent="0.2">
      <c r="B40" s="141" t="s">
        <v>1067</v>
      </c>
      <c r="C40" s="152"/>
      <c r="D40" s="153"/>
      <c r="E40" s="153"/>
      <c r="F40" s="268">
        <v>150</v>
      </c>
      <c r="G40" s="152" t="s">
        <v>13</v>
      </c>
      <c r="I40" s="137" t="s">
        <v>195</v>
      </c>
      <c r="J40" s="163">
        <f>F21</f>
        <v>0</v>
      </c>
      <c r="K40" s="163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2"/>
      <c r="D41" s="153"/>
      <c r="E41" s="153"/>
      <c r="F41" s="49">
        <v>1.2</v>
      </c>
      <c r="G41" s="154"/>
      <c r="I41" s="146"/>
      <c r="J41" s="147"/>
      <c r="K41" s="147"/>
      <c r="L41" s="148"/>
    </row>
    <row r="42" spans="2:19" x14ac:dyDescent="0.2">
      <c r="B42" s="64" t="s">
        <v>12</v>
      </c>
      <c r="C42" s="152"/>
      <c r="D42" s="153"/>
      <c r="E42" s="153"/>
      <c r="F42" s="49">
        <v>1.5</v>
      </c>
      <c r="G42" s="154"/>
    </row>
    <row r="43" spans="2:19" x14ac:dyDescent="0.2">
      <c r="B43" s="152" t="s">
        <v>3</v>
      </c>
      <c r="C43" s="152"/>
      <c r="D43" s="153"/>
      <c r="E43" s="153"/>
      <c r="F43" s="49">
        <v>0.8</v>
      </c>
      <c r="G43" s="152"/>
    </row>
    <row r="44" spans="2:19" x14ac:dyDescent="0.2">
      <c r="B44" s="64" t="s">
        <v>1068</v>
      </c>
      <c r="C44" s="152"/>
      <c r="D44" s="153"/>
      <c r="E44" s="153"/>
      <c r="F44" s="267">
        <v>0.01</v>
      </c>
      <c r="G44" s="152" t="s">
        <v>14</v>
      </c>
      <c r="J44" s="47"/>
    </row>
    <row r="45" spans="2:19" ht="12.6" customHeight="1" x14ac:dyDescent="0.2">
      <c r="B45" s="141" t="s">
        <v>1073</v>
      </c>
      <c r="C45" s="141"/>
      <c r="D45" s="153"/>
      <c r="E45" s="153"/>
      <c r="F45" s="49">
        <v>1</v>
      </c>
      <c r="G45" s="152" t="s">
        <v>0</v>
      </c>
    </row>
    <row r="46" spans="2:19" x14ac:dyDescent="0.2">
      <c r="B46" s="64" t="s">
        <v>1069</v>
      </c>
      <c r="C46" s="152"/>
      <c r="D46" s="153"/>
      <c r="E46" s="153"/>
      <c r="F46" s="49">
        <v>1.5</v>
      </c>
      <c r="G46" s="152" t="s">
        <v>5</v>
      </c>
    </row>
    <row r="47" spans="2:19" x14ac:dyDescent="0.2">
      <c r="B47" s="64" t="s">
        <v>1072</v>
      </c>
      <c r="C47" s="152"/>
      <c r="D47" s="153"/>
      <c r="E47" s="153"/>
      <c r="F47" s="168">
        <v>0.5</v>
      </c>
      <c r="G47" s="152" t="s">
        <v>4</v>
      </c>
    </row>
    <row r="48" spans="2:19" x14ac:dyDescent="0.2">
      <c r="B48" s="64" t="s">
        <v>1070</v>
      </c>
      <c r="C48" s="152"/>
      <c r="D48" s="153"/>
      <c r="E48" s="153"/>
      <c r="F48" s="177">
        <v>0.75</v>
      </c>
      <c r="G48" s="152" t="s">
        <v>4</v>
      </c>
      <c r="I48" s="68"/>
      <c r="M48" s="166"/>
    </row>
    <row r="49" spans="1:7" x14ac:dyDescent="0.2">
      <c r="B49" s="51" t="s">
        <v>1071</v>
      </c>
      <c r="C49" s="154"/>
      <c r="D49" s="153"/>
      <c r="E49" s="153"/>
      <c r="F49" s="170"/>
      <c r="G49" s="154"/>
    </row>
    <row r="50" spans="1:7" x14ac:dyDescent="0.2">
      <c r="B50" s="152" t="s">
        <v>1</v>
      </c>
      <c r="C50" s="152"/>
      <c r="D50" s="153"/>
      <c r="E50" s="153"/>
      <c r="F50" s="171">
        <v>150</v>
      </c>
      <c r="G50" s="152" t="s">
        <v>2</v>
      </c>
    </row>
    <row r="52" spans="1:7" x14ac:dyDescent="0.2">
      <c r="B52" s="51" t="s">
        <v>1074</v>
      </c>
      <c r="C52" s="51"/>
      <c r="D52" s="153"/>
      <c r="E52" s="153"/>
      <c r="F52" s="169" t="s">
        <v>62</v>
      </c>
      <c r="G52" s="154"/>
    </row>
    <row r="53" spans="1:7" x14ac:dyDescent="0.2">
      <c r="B53" s="141" t="s">
        <v>1075</v>
      </c>
      <c r="C53" s="160">
        <v>150</v>
      </c>
      <c r="D53" s="153"/>
      <c r="E53" s="153"/>
      <c r="F53" s="269">
        <v>4.4999999999999997E-3</v>
      </c>
      <c r="G53" s="152" t="s">
        <v>23</v>
      </c>
    </row>
    <row r="54" spans="1:7" x14ac:dyDescent="0.2">
      <c r="B54" s="141" t="s">
        <v>1075</v>
      </c>
      <c r="C54" s="160">
        <v>200</v>
      </c>
      <c r="D54" s="153"/>
      <c r="E54" s="153"/>
      <c r="F54" s="269">
        <v>4.0000000000000001E-3</v>
      </c>
      <c r="G54" s="152" t="s">
        <v>23</v>
      </c>
    </row>
    <row r="55" spans="1:7" x14ac:dyDescent="0.2">
      <c r="B55" s="152" t="s">
        <v>60</v>
      </c>
      <c r="C55" s="160">
        <v>250</v>
      </c>
      <c r="D55" s="153"/>
      <c r="E55" s="153"/>
      <c r="F55" s="269">
        <v>3.5000000000000001E-3</v>
      </c>
      <c r="G55" s="152" t="s">
        <v>23</v>
      </c>
    </row>
    <row r="56" spans="1:7" x14ac:dyDescent="0.2">
      <c r="A56" s="68"/>
      <c r="B56" s="51" t="s">
        <v>24</v>
      </c>
      <c r="C56" s="51"/>
      <c r="D56" s="153"/>
      <c r="E56" s="153"/>
      <c r="F56" s="170"/>
      <c r="G56" s="154"/>
    </row>
    <row r="57" spans="1:7" x14ac:dyDescent="0.2">
      <c r="B57" s="64" t="s">
        <v>1076</v>
      </c>
      <c r="C57" s="152"/>
      <c r="D57" s="153"/>
      <c r="E57" s="153"/>
      <c r="F57" s="172">
        <v>0.9</v>
      </c>
      <c r="G57" s="152" t="s">
        <v>6</v>
      </c>
    </row>
    <row r="58" spans="1:7" x14ac:dyDescent="0.2">
      <c r="B58" s="64" t="s">
        <v>1077</v>
      </c>
      <c r="C58" s="152"/>
      <c r="D58" s="153"/>
      <c r="E58" s="153"/>
      <c r="F58" s="49">
        <v>0.65</v>
      </c>
      <c r="G58" s="152" t="s">
        <v>6</v>
      </c>
    </row>
    <row r="59" spans="1:7" x14ac:dyDescent="0.2">
      <c r="B59" s="51" t="s">
        <v>1078</v>
      </c>
      <c r="C59" s="153"/>
      <c r="D59" s="153"/>
      <c r="E59" s="153"/>
      <c r="F59" s="173"/>
      <c r="G59" s="153"/>
    </row>
    <row r="60" spans="1:7" ht="16.5" customHeight="1" x14ac:dyDescent="0.2">
      <c r="B60" s="64" t="s">
        <v>1079</v>
      </c>
      <c r="C60" s="153"/>
      <c r="D60" s="153"/>
      <c r="E60" s="153"/>
      <c r="F60" s="270" t="s">
        <v>127</v>
      </c>
      <c r="G60" s="153"/>
    </row>
    <row r="61" spans="1:7" x14ac:dyDescent="0.2">
      <c r="B61" s="282" t="s">
        <v>1080</v>
      </c>
      <c r="C61" s="153"/>
      <c r="D61" s="153"/>
      <c r="E61" s="153"/>
      <c r="F61" s="173"/>
      <c r="G61" s="153"/>
    </row>
    <row r="62" spans="1:7" ht="16.5" customHeight="1" x14ac:dyDescent="0.2">
      <c r="B62" s="141" t="s">
        <v>1082</v>
      </c>
      <c r="C62" s="153"/>
      <c r="D62" s="153"/>
      <c r="E62" s="153"/>
      <c r="F62" s="49">
        <v>0.5</v>
      </c>
      <c r="G62" s="153" t="s">
        <v>6</v>
      </c>
    </row>
    <row r="63" spans="1:7" ht="16.5" customHeight="1" x14ac:dyDescent="0.2">
      <c r="B63" s="282" t="s">
        <v>1081</v>
      </c>
    </row>
    <row r="64" spans="1:7" ht="16.5" customHeight="1" x14ac:dyDescent="0.2">
      <c r="B64" s="56" t="s">
        <v>327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29</v>
      </c>
      <c r="C67" s="67" t="s">
        <v>27</v>
      </c>
      <c r="D67" s="65" t="s">
        <v>28</v>
      </c>
      <c r="E67" s="65" t="s">
        <v>271</v>
      </c>
      <c r="F67" s="139"/>
      <c r="G67" s="139"/>
    </row>
    <row r="68" spans="2:7" ht="3" customHeight="1" x14ac:dyDescent="0.2">
      <c r="B68" s="340">
        <v>0</v>
      </c>
      <c r="C68" s="341"/>
      <c r="D68" s="342"/>
      <c r="E68" s="342"/>
      <c r="F68" s="139"/>
      <c r="G68" s="139"/>
    </row>
    <row r="69" spans="2:7" ht="16.5" customHeight="1" x14ac:dyDescent="0.2">
      <c r="B69" s="43">
        <f>'A7'!B2</f>
        <v>100</v>
      </c>
      <c r="C69" s="150" t="s">
        <v>136</v>
      </c>
      <c r="D69" s="144">
        <f>HLOOKUP(C69,'A7'!$C$18:$G$19,2,FALSE)</f>
        <v>0.01</v>
      </c>
      <c r="E69" s="151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0" t="s">
        <v>136</v>
      </c>
      <c r="D70" s="144">
        <f>HLOOKUP(C70,'A7'!$C$18:$G$19,2,FALSE)</f>
        <v>0.01</v>
      </c>
      <c r="E70" s="151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0" t="s">
        <v>136</v>
      </c>
      <c r="D71" s="144">
        <f>HLOOKUP(C71,'A7'!$C$18:$G$19,2,FALSE)</f>
        <v>0.01</v>
      </c>
      <c r="E71" s="151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0" t="s">
        <v>136</v>
      </c>
      <c r="D72" s="144">
        <f>HLOOKUP(C72,'A7'!$C$18:$G$19,2,FALSE)</f>
        <v>0.01</v>
      </c>
      <c r="E72" s="151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0" t="s">
        <v>136</v>
      </c>
      <c r="D73" s="144">
        <f>HLOOKUP(C73,'A7'!$C$18:$G$19,2,FALSE)</f>
        <v>0.01</v>
      </c>
      <c r="E73" s="151">
        <v>1.2999999999999999E-2</v>
      </c>
      <c r="F73" s="139"/>
      <c r="G73" s="139"/>
    </row>
    <row r="74" spans="2:7" x14ac:dyDescent="0.2">
      <c r="B74" s="43">
        <f>'A7'!B7</f>
        <v>350</v>
      </c>
      <c r="C74" s="150" t="s">
        <v>136</v>
      </c>
      <c r="D74" s="144">
        <f>HLOOKUP(C74,'A7'!$C$18:$G$19,2,FALSE)</f>
        <v>0.01</v>
      </c>
      <c r="E74" s="151">
        <v>1.2999999999999999E-2</v>
      </c>
    </row>
    <row r="75" spans="2:7" x14ac:dyDescent="0.2">
      <c r="B75" s="43">
        <f>'A7'!B8</f>
        <v>400</v>
      </c>
      <c r="C75" s="150" t="s">
        <v>125</v>
      </c>
      <c r="D75" s="144">
        <f>HLOOKUP(C75,'A7'!$C$18:$G$19,2,FALSE)</f>
        <v>0.01</v>
      </c>
      <c r="E75" s="151">
        <v>1.2999999999999999E-2</v>
      </c>
    </row>
    <row r="76" spans="2:7" x14ac:dyDescent="0.2">
      <c r="B76" s="43">
        <f>'A7'!B9</f>
        <v>450</v>
      </c>
      <c r="C76" s="150" t="s">
        <v>125</v>
      </c>
      <c r="D76" s="144">
        <f>HLOOKUP(C76,'A7'!$C$18:$G$19,2,FALSE)</f>
        <v>0.01</v>
      </c>
      <c r="E76" s="151">
        <v>1.2999999999999999E-2</v>
      </c>
    </row>
    <row r="77" spans="2:7" x14ac:dyDescent="0.2">
      <c r="B77" s="43">
        <f>'A7'!B10</f>
        <v>500</v>
      </c>
      <c r="C77" s="150" t="s">
        <v>125</v>
      </c>
      <c r="D77" s="144">
        <f>HLOOKUP(C77,'A7'!$C$18:$G$19,2,FALSE)</f>
        <v>0.01</v>
      </c>
      <c r="E77" s="151">
        <v>1.2999999999999999E-2</v>
      </c>
    </row>
    <row r="78" spans="2:7" x14ac:dyDescent="0.2">
      <c r="B78" s="43">
        <f>'A7'!B11</f>
        <v>600</v>
      </c>
      <c r="C78" s="150" t="s">
        <v>125</v>
      </c>
      <c r="D78" s="144">
        <f>HLOOKUP(C78,'A7'!$C$18:$G$19,2,FALSE)</f>
        <v>0.01</v>
      </c>
      <c r="E78" s="151">
        <v>1.2999999999999999E-2</v>
      </c>
    </row>
    <row r="79" spans="2:7" x14ac:dyDescent="0.2">
      <c r="B79" s="43">
        <f>'A7'!B12</f>
        <v>700</v>
      </c>
      <c r="C79" s="150" t="s">
        <v>125</v>
      </c>
      <c r="D79" s="144">
        <f>HLOOKUP(C79,'A7'!$C$18:$G$19,2,FALSE)</f>
        <v>0.01</v>
      </c>
      <c r="E79" s="151">
        <v>1.2999999999999999E-2</v>
      </c>
    </row>
    <row r="80" spans="2:7" x14ac:dyDescent="0.2">
      <c r="B80" s="43">
        <f>'A7'!B13</f>
        <v>800</v>
      </c>
      <c r="C80" s="150" t="s">
        <v>125</v>
      </c>
      <c r="D80" s="144">
        <f>HLOOKUP(C80,'A7'!$C$18:$G$19,2,FALSE)</f>
        <v>0.01</v>
      </c>
      <c r="E80" s="151">
        <v>1.2999999999999999E-2</v>
      </c>
    </row>
    <row r="81" spans="2:5" x14ac:dyDescent="0.2">
      <c r="B81" s="43">
        <f>'A7'!B14</f>
        <v>900</v>
      </c>
      <c r="C81" s="150" t="s">
        <v>125</v>
      </c>
      <c r="D81" s="144">
        <f>HLOOKUP(C81,'A7'!$C$18:$G$19,2,FALSE)</f>
        <v>0.01</v>
      </c>
      <c r="E81" s="151">
        <v>1.2999999999999999E-2</v>
      </c>
    </row>
    <row r="82" spans="2:5" x14ac:dyDescent="0.2">
      <c r="B82" s="43">
        <f>'A7'!B15</f>
        <v>1000</v>
      </c>
      <c r="C82" s="150" t="s">
        <v>125</v>
      </c>
      <c r="D82" s="144">
        <f>HLOOKUP(C82,'A7'!$C$18:$G$19,2,FALSE)</f>
        <v>0.01</v>
      </c>
      <c r="E82" s="151">
        <v>1.2999999999999999E-2</v>
      </c>
    </row>
    <row r="85" spans="2:5" x14ac:dyDescent="0.2">
      <c r="B85" s="142" t="s">
        <v>196</v>
      </c>
      <c r="C85" s="143"/>
      <c r="D85" s="143"/>
    </row>
    <row r="86" spans="2:5" ht="38.25" x14ac:dyDescent="0.2">
      <c r="B86" s="65" t="s">
        <v>115</v>
      </c>
      <c r="C86" s="239" t="s">
        <v>123</v>
      </c>
      <c r="D86" s="65" t="s">
        <v>116</v>
      </c>
    </row>
    <row r="87" spans="2:5" x14ac:dyDescent="0.2">
      <c r="B87" s="240" t="s">
        <v>119</v>
      </c>
      <c r="C87" s="241">
        <v>1.3</v>
      </c>
      <c r="D87" s="242">
        <v>150</v>
      </c>
    </row>
    <row r="88" spans="2:5" x14ac:dyDescent="0.2">
      <c r="B88" s="240" t="s">
        <v>117</v>
      </c>
      <c r="C88" s="241">
        <v>1.8</v>
      </c>
      <c r="D88" s="242">
        <v>400</v>
      </c>
    </row>
    <row r="89" spans="2:5" x14ac:dyDescent="0.2">
      <c r="B89" s="240" t="s">
        <v>120</v>
      </c>
      <c r="C89" s="241">
        <v>3.5</v>
      </c>
      <c r="D89" s="242">
        <v>500</v>
      </c>
    </row>
    <row r="90" spans="2:5" x14ac:dyDescent="0.2">
      <c r="B90" s="240" t="s">
        <v>118</v>
      </c>
      <c r="C90" s="241">
        <v>4</v>
      </c>
      <c r="D90" s="242">
        <v>600</v>
      </c>
    </row>
    <row r="91" spans="2:5" x14ac:dyDescent="0.2">
      <c r="B91" s="240" t="s">
        <v>121</v>
      </c>
      <c r="C91" s="241">
        <v>6</v>
      </c>
      <c r="D91" s="242">
        <v>800</v>
      </c>
    </row>
    <row r="92" spans="2:5" x14ac:dyDescent="0.2">
      <c r="B92" s="240" t="s">
        <v>122</v>
      </c>
      <c r="C92" s="241">
        <v>15</v>
      </c>
      <c r="D92" s="242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08" priority="1848" operator="notEqual">
      <formula>E69</formula>
    </cfRule>
  </conditionalFormatting>
  <conditionalFormatting sqref="J38:L40">
    <cfRule type="cellIs" dxfId="107" priority="1806" operator="equal">
      <formula>0</formula>
    </cfRule>
  </conditionalFormatting>
  <conditionalFormatting sqref="L24">
    <cfRule type="cellIs" dxfId="106" priority="1802" operator="equal">
      <formula>0</formula>
    </cfRule>
  </conditionalFormatting>
  <conditionalFormatting sqref="L26">
    <cfRule type="cellIs" dxfId="105" priority="1801" operator="equal">
      <formula>0</formula>
    </cfRule>
  </conditionalFormatting>
  <conditionalFormatting sqref="K24">
    <cfRule type="cellIs" dxfId="104" priority="1800" operator="equal">
      <formula>0</formula>
    </cfRule>
  </conditionalFormatting>
  <conditionalFormatting sqref="C88">
    <cfRule type="expression" dxfId="103" priority="1028">
      <formula>C88&lt;C87</formula>
    </cfRule>
  </conditionalFormatting>
  <conditionalFormatting sqref="C89:C92">
    <cfRule type="expression" dxfId="102" priority="1027">
      <formula>C89&lt;C88</formula>
    </cfRule>
  </conditionalFormatting>
  <conditionalFormatting sqref="D88">
    <cfRule type="expression" dxfId="101" priority="1016">
      <formula>D88&lt;D87</formula>
    </cfRule>
  </conditionalFormatting>
  <conditionalFormatting sqref="D89:D92">
    <cfRule type="expression" dxfId="100" priority="1015">
      <formula>D89&lt;D88</formula>
    </cfRule>
  </conditionalFormatting>
  <conditionalFormatting sqref="F35">
    <cfRule type="cellIs" dxfId="99" priority="2" operator="equal">
      <formula>"Sim"</formula>
    </cfRule>
    <cfRule type="cellIs" dxfId="98" priority="3" operator="equal">
      <formula>"Não"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count="16">
    <dataValidation type="list" allowBlank="1" showInputMessage="1" showErrorMessage="1" sqref="F35" xr:uid="{AFAA0F7E-4A5A-4A6F-8151-EEB5DF9FB7E4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783D13F5-3440-4D4E-9D64-9893C19F4B45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zoomScale="80" zoomScaleNormal="80" workbookViewId="0">
      <selection activeCell="O8" sqref="O8"/>
    </sheetView>
  </sheetViews>
  <sheetFormatPr defaultColWidth="8" defaultRowHeight="12.75" x14ac:dyDescent="0.2"/>
  <cols>
    <col min="1" max="1" width="4.28515625" style="47" customWidth="1"/>
    <col min="2" max="2" width="8.5703125" style="47" customWidth="1"/>
    <col min="3" max="3" width="8.85546875" style="47" customWidth="1"/>
    <col min="4" max="4" width="10.5703125" style="63" customWidth="1"/>
    <col min="5" max="5" width="11.85546875" style="215" customWidth="1"/>
    <col min="6" max="6" width="11.7109375" style="236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hidden="1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105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201</v>
      </c>
      <c r="F3" s="234"/>
      <c r="G3" s="161"/>
      <c r="H3" s="162"/>
      <c r="I3" s="59"/>
      <c r="J3" s="196"/>
      <c r="T3" s="45"/>
      <c r="U3" s="45"/>
      <c r="V3" s="45"/>
      <c r="X3" s="45"/>
      <c r="Y3" s="45"/>
      <c r="Z3" s="45"/>
      <c r="AA3" s="48"/>
      <c r="AC3" s="48"/>
      <c r="AD3" s="344"/>
      <c r="AE3" s="48"/>
      <c r="AG3" s="48"/>
      <c r="AH3" s="344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6"/>
      <c r="K4" s="196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22" t="s">
        <v>197</v>
      </c>
      <c r="F5" s="325"/>
      <c r="G5" s="381">
        <f>Parametros!$B$6</f>
        <v>0</v>
      </c>
      <c r="H5" s="381"/>
      <c r="I5" s="381"/>
      <c r="J5" s="381"/>
      <c r="K5" s="381"/>
      <c r="L5" s="321"/>
      <c r="M5" s="321"/>
      <c r="N5" s="321"/>
      <c r="O5" s="321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22" t="s">
        <v>198</v>
      </c>
      <c r="F6" s="325"/>
      <c r="G6" s="381">
        <f>Parametros!$B$8</f>
        <v>0</v>
      </c>
      <c r="H6" s="381"/>
      <c r="I6" s="381"/>
      <c r="J6" s="381"/>
      <c r="K6" s="381"/>
      <c r="L6" s="321"/>
      <c r="M6" s="321"/>
      <c r="N6" s="321"/>
      <c r="O6" s="321"/>
      <c r="P6" s="283"/>
      <c r="T6" s="48"/>
      <c r="U6" s="60"/>
      <c r="V6" s="48"/>
      <c r="W6" s="60"/>
      <c r="X6" s="48"/>
      <c r="Y6" s="48"/>
      <c r="Z6" s="60"/>
      <c r="AA6" s="48"/>
      <c r="AC6" s="48"/>
      <c r="AD6" s="344"/>
      <c r="AE6" s="48"/>
      <c r="AG6" s="48"/>
      <c r="AH6" s="344"/>
      <c r="AI6" s="345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22" t="s">
        <v>199</v>
      </c>
      <c r="F7" s="325"/>
      <c r="G7" s="381">
        <f>Parametros!$B$10</f>
        <v>0</v>
      </c>
      <c r="H7" s="381"/>
      <c r="I7" s="381"/>
      <c r="J7" s="381"/>
      <c r="K7" s="381"/>
      <c r="L7" s="321"/>
      <c r="M7" s="321"/>
      <c r="N7" s="321"/>
      <c r="O7" s="321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22" t="s">
        <v>22</v>
      </c>
      <c r="F8" s="325"/>
      <c r="G8" s="381">
        <f>Parametros!$B$12</f>
        <v>0</v>
      </c>
      <c r="H8" s="381"/>
      <c r="I8" s="381"/>
      <c r="J8" s="381"/>
      <c r="K8" s="381"/>
      <c r="L8" s="321"/>
      <c r="M8" s="321"/>
      <c r="N8" s="321"/>
      <c r="O8" s="321"/>
      <c r="P8" s="339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22" t="s">
        <v>200</v>
      </c>
      <c r="F9" s="326"/>
      <c r="G9" s="382">
        <f>Parametros!$B$14</f>
        <v>0</v>
      </c>
      <c r="H9" s="381"/>
      <c r="I9" s="381"/>
      <c r="J9" s="381"/>
      <c r="K9" s="381"/>
      <c r="L9" s="321"/>
      <c r="M9" s="321"/>
      <c r="N9" s="321"/>
      <c r="O9" s="321"/>
      <c r="P9" s="283"/>
      <c r="Q9" s="283"/>
      <c r="AA9" s="48"/>
      <c r="AC9" s="48"/>
      <c r="AD9" s="344"/>
      <c r="AE9" s="48"/>
      <c r="AG9" s="48"/>
      <c r="AH9" s="344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39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3">
        <f>SUM($A$15:$A$10000)</f>
        <v>0</v>
      </c>
      <c r="B11" s="158"/>
      <c r="C11" s="158"/>
      <c r="D11" s="158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19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441" t="s">
        <v>114</v>
      </c>
      <c r="C12" s="441" t="s">
        <v>77</v>
      </c>
      <c r="D12" s="422" t="s">
        <v>202</v>
      </c>
      <c r="E12" s="466" t="s">
        <v>203</v>
      </c>
      <c r="F12" s="425" t="s">
        <v>204</v>
      </c>
      <c r="G12" s="436" t="s">
        <v>205</v>
      </c>
      <c r="H12" s="437"/>
      <c r="I12" s="437"/>
      <c r="J12" s="438"/>
      <c r="K12" s="439" t="s">
        <v>1047</v>
      </c>
      <c r="L12" s="440"/>
      <c r="M12" s="430" t="s">
        <v>212</v>
      </c>
      <c r="N12" s="431"/>
      <c r="O12" s="432"/>
      <c r="P12" s="460" t="s">
        <v>216</v>
      </c>
      <c r="Q12" s="460" t="s">
        <v>217</v>
      </c>
      <c r="R12" s="383" t="s">
        <v>218</v>
      </c>
      <c r="S12" s="386" t="s">
        <v>315</v>
      </c>
      <c r="T12" s="430" t="s">
        <v>220</v>
      </c>
      <c r="U12" s="431"/>
      <c r="V12" s="471" t="s">
        <v>54</v>
      </c>
      <c r="W12" s="472"/>
      <c r="X12" s="383" t="s">
        <v>332</v>
      </c>
      <c r="Y12" s="402" t="s">
        <v>34</v>
      </c>
      <c r="Z12" s="403"/>
      <c r="AA12" s="406" t="s">
        <v>35</v>
      </c>
      <c r="AB12" s="406"/>
      <c r="AC12" s="391" t="s">
        <v>290</v>
      </c>
      <c r="AD12" s="392"/>
      <c r="AE12" s="408" t="s">
        <v>224</v>
      </c>
      <c r="AF12" s="409"/>
      <c r="AG12" s="410"/>
      <c r="AH12" s="411"/>
      <c r="AI12" s="418" t="s">
        <v>226</v>
      </c>
      <c r="AJ12" s="418"/>
      <c r="AK12" s="450" t="s">
        <v>138</v>
      </c>
      <c r="AL12" s="454" t="s">
        <v>229</v>
      </c>
      <c r="AM12" s="454"/>
      <c r="AN12" s="455"/>
      <c r="AO12" s="455"/>
      <c r="AP12" s="455"/>
      <c r="AQ12" s="455"/>
      <c r="AR12" s="455"/>
      <c r="AS12" s="455"/>
      <c r="AT12" s="455"/>
      <c r="AU12" s="455"/>
      <c r="AV12" s="456"/>
      <c r="AW12" s="463" t="s">
        <v>240</v>
      </c>
      <c r="AX12" s="398" t="s">
        <v>242</v>
      </c>
      <c r="AY12" s="457" t="s">
        <v>241</v>
      </c>
      <c r="AZ12" s="395" t="s">
        <v>243</v>
      </c>
      <c r="BA12" s="444" t="s">
        <v>244</v>
      </c>
      <c r="BB12" s="447" t="s">
        <v>245</v>
      </c>
    </row>
    <row r="13" spans="1:55" ht="48.75" customHeight="1" x14ac:dyDescent="0.2">
      <c r="A13" s="224"/>
      <c r="B13" s="442"/>
      <c r="C13" s="442" t="s">
        <v>77</v>
      </c>
      <c r="D13" s="423"/>
      <c r="E13" s="467"/>
      <c r="F13" s="426"/>
      <c r="G13" s="433" t="s">
        <v>307</v>
      </c>
      <c r="H13" s="434"/>
      <c r="I13" s="435"/>
      <c r="J13" s="222" t="s">
        <v>308</v>
      </c>
      <c r="K13" s="436" t="s">
        <v>1046</v>
      </c>
      <c r="L13" s="438"/>
      <c r="M13" s="420" t="s">
        <v>213</v>
      </c>
      <c r="N13" s="428" t="s">
        <v>214</v>
      </c>
      <c r="O13" s="428" t="s">
        <v>215</v>
      </c>
      <c r="P13" s="461"/>
      <c r="Q13" s="461"/>
      <c r="R13" s="384"/>
      <c r="S13" s="387"/>
      <c r="T13" s="389" t="s">
        <v>219</v>
      </c>
      <c r="U13" s="389" t="s">
        <v>221</v>
      </c>
      <c r="V13" s="389" t="s">
        <v>222</v>
      </c>
      <c r="W13" s="389" t="s">
        <v>223</v>
      </c>
      <c r="X13" s="384"/>
      <c r="Y13" s="404"/>
      <c r="Z13" s="405"/>
      <c r="AA13" s="407"/>
      <c r="AB13" s="407"/>
      <c r="AC13" s="393"/>
      <c r="AD13" s="394"/>
      <c r="AE13" s="412"/>
      <c r="AF13" s="413"/>
      <c r="AG13" s="414"/>
      <c r="AH13" s="415"/>
      <c r="AI13" s="419"/>
      <c r="AJ13" s="419"/>
      <c r="AK13" s="451"/>
      <c r="AL13" s="416" t="s">
        <v>230</v>
      </c>
      <c r="AM13" s="416"/>
      <c r="AN13" s="416"/>
      <c r="AO13" s="416"/>
      <c r="AP13" s="416"/>
      <c r="AQ13" s="416"/>
      <c r="AR13" s="417"/>
      <c r="AS13" s="453" t="s">
        <v>231</v>
      </c>
      <c r="AT13" s="453"/>
      <c r="AU13" s="453"/>
      <c r="AV13" s="453"/>
      <c r="AW13" s="464"/>
      <c r="AX13" s="399"/>
      <c r="AY13" s="458"/>
      <c r="AZ13" s="396"/>
      <c r="BA13" s="445"/>
      <c r="BB13" s="448"/>
    </row>
    <row r="14" spans="1:55" ht="86.25" customHeight="1" x14ac:dyDescent="0.2">
      <c r="A14" s="225" t="s">
        <v>144</v>
      </c>
      <c r="B14" s="443"/>
      <c r="C14" s="443"/>
      <c r="D14" s="424"/>
      <c r="E14" s="468" t="s">
        <v>8</v>
      </c>
      <c r="F14" s="427"/>
      <c r="G14" s="226" t="s">
        <v>206</v>
      </c>
      <c r="H14" s="280" t="s">
        <v>207</v>
      </c>
      <c r="I14" s="280" t="s">
        <v>208</v>
      </c>
      <c r="J14" s="280" t="s">
        <v>209</v>
      </c>
      <c r="K14" s="226" t="s">
        <v>210</v>
      </c>
      <c r="L14" s="226" t="s">
        <v>211</v>
      </c>
      <c r="M14" s="421"/>
      <c r="N14" s="429"/>
      <c r="O14" s="429"/>
      <c r="P14" s="462" t="s">
        <v>36</v>
      </c>
      <c r="Q14" s="462"/>
      <c r="R14" s="385"/>
      <c r="S14" s="388"/>
      <c r="T14" s="390"/>
      <c r="U14" s="390"/>
      <c r="V14" s="390"/>
      <c r="W14" s="390"/>
      <c r="X14" s="385"/>
      <c r="Y14" s="227" t="s">
        <v>37</v>
      </c>
      <c r="Z14" s="227" t="s">
        <v>38</v>
      </c>
      <c r="AA14" s="194" t="s">
        <v>37</v>
      </c>
      <c r="AB14" s="194" t="s">
        <v>38</v>
      </c>
      <c r="AC14" s="320" t="s">
        <v>37</v>
      </c>
      <c r="AD14" s="320" t="s">
        <v>38</v>
      </c>
      <c r="AE14" s="286" t="s">
        <v>39</v>
      </c>
      <c r="AF14" s="469" t="s">
        <v>225</v>
      </c>
      <c r="AG14" s="470"/>
      <c r="AH14" s="286" t="s">
        <v>227</v>
      </c>
      <c r="AI14" s="194" t="s">
        <v>75</v>
      </c>
      <c r="AJ14" s="194" t="s">
        <v>228</v>
      </c>
      <c r="AK14" s="452"/>
      <c r="AL14" s="279" t="s">
        <v>232</v>
      </c>
      <c r="AM14" s="279" t="s">
        <v>233</v>
      </c>
      <c r="AN14" s="401" t="s">
        <v>235</v>
      </c>
      <c r="AO14" s="401"/>
      <c r="AP14" s="277" t="s">
        <v>234</v>
      </c>
      <c r="AQ14" s="277" t="s">
        <v>236</v>
      </c>
      <c r="AR14" s="195" t="s">
        <v>237</v>
      </c>
      <c r="AS14" s="274" t="s">
        <v>238</v>
      </c>
      <c r="AT14" s="278" t="s">
        <v>239</v>
      </c>
      <c r="AU14" s="275" t="s">
        <v>235</v>
      </c>
      <c r="AV14" s="276" t="s">
        <v>234</v>
      </c>
      <c r="AW14" s="465"/>
      <c r="AX14" s="400"/>
      <c r="AY14" s="459"/>
      <c r="AZ14" s="397"/>
      <c r="BA14" s="446"/>
      <c r="BB14" s="449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94" priority="700062" operator="equal">
      <formula>0</formula>
    </cfRule>
  </conditionalFormatting>
  <conditionalFormatting sqref="A11">
    <cfRule type="cellIs" dxfId="93" priority="7247" operator="equal">
      <formula>0</formula>
    </cfRule>
  </conditionalFormatting>
  <conditionalFormatting sqref="K11:L11">
    <cfRule type="cellIs" dxfId="92" priority="6229" operator="equal">
      <formula>0</formula>
    </cfRule>
  </conditionalFormatting>
  <conditionalFormatting sqref="L9:O9">
    <cfRule type="cellIs" dxfId="91" priority="1264" operator="equal">
      <formula>0</formula>
    </cfRule>
  </conditionalFormatting>
  <conditionalFormatting sqref="L5:O8">
    <cfRule type="cellIs" dxfId="90" priority="1265" operator="equal">
      <formula>0</formula>
    </cfRule>
  </conditionalFormatting>
  <conditionalFormatting sqref="F9">
    <cfRule type="cellIs" dxfId="89" priority="1117" operator="equal">
      <formula>0</formula>
    </cfRule>
  </conditionalFormatting>
  <conditionalFormatting sqref="F5:F8">
    <cfRule type="cellIs" dxfId="88" priority="1118" operator="equal">
      <formula>0</formula>
    </cfRule>
  </conditionalFormatting>
  <conditionalFormatting sqref="G9:K9">
    <cfRule type="cellIs" dxfId="87" priority="46" operator="equal">
      <formula>0</formula>
    </cfRule>
  </conditionalFormatting>
  <conditionalFormatting sqref="G5:K8">
    <cfRule type="cellIs" dxfId="86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180975</xdr:colOff>
                    <xdr:row>9</xdr:row>
                    <xdr:rowOff>28575</xdr:rowOff>
                  </from>
                  <to>
                    <xdr:col>7</xdr:col>
                    <xdr:colOff>104775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361950</xdr:colOff>
                    <xdr:row>4</xdr:row>
                    <xdr:rowOff>19050</xdr:rowOff>
                  </from>
                  <to>
                    <xdr:col>11</xdr:col>
                    <xdr:colOff>762000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161925</xdr:colOff>
                    <xdr:row>9</xdr:row>
                    <xdr:rowOff>38100</xdr:rowOff>
                  </from>
                  <to>
                    <xdr:col>9</xdr:col>
                    <xdr:colOff>123825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161925</xdr:colOff>
                    <xdr:row>9</xdr:row>
                    <xdr:rowOff>28575</xdr:rowOff>
                  </from>
                  <to>
                    <xdr:col>8</xdr:col>
                    <xdr:colOff>104775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209550</xdr:colOff>
                    <xdr:row>6</xdr:row>
                    <xdr:rowOff>19050</xdr:rowOff>
                  </from>
                  <to>
                    <xdr:col>9</xdr:col>
                    <xdr:colOff>1066800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190500</xdr:colOff>
                    <xdr:row>5</xdr:row>
                    <xdr:rowOff>171450</xdr:rowOff>
                  </from>
                  <to>
                    <xdr:col>13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21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21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O7" sqref="O7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1.57031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109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201</v>
      </c>
      <c r="H2" s="20" t="s">
        <v>248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140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247</v>
      </c>
      <c r="C4" s="495">
        <v>0</v>
      </c>
      <c r="D4" s="495"/>
      <c r="E4" s="495"/>
      <c r="F4" s="495"/>
      <c r="G4" s="496"/>
      <c r="H4" s="481" t="s">
        <v>252</v>
      </c>
      <c r="I4" s="482"/>
      <c r="J4" s="271">
        <v>6000</v>
      </c>
      <c r="L4" s="481" t="s">
        <v>3</v>
      </c>
      <c r="M4" s="482"/>
      <c r="N4" s="28">
        <v>0.8</v>
      </c>
      <c r="S4" s="512" t="s">
        <v>258</v>
      </c>
      <c r="T4" s="513"/>
      <c r="X4" s="510" t="s">
        <v>264</v>
      </c>
      <c r="Y4" s="511"/>
      <c r="AB4" s="11"/>
      <c r="AD4" s="254" t="s">
        <v>186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246</v>
      </c>
      <c r="C5" s="495">
        <v>0</v>
      </c>
      <c r="D5" s="495"/>
      <c r="E5" s="495"/>
      <c r="F5" s="495"/>
      <c r="G5" s="496"/>
      <c r="H5" s="481" t="s">
        <v>250</v>
      </c>
      <c r="I5" s="482"/>
      <c r="J5" s="271">
        <v>4000</v>
      </c>
      <c r="L5" s="481" t="s">
        <v>253</v>
      </c>
      <c r="M5" s="482"/>
      <c r="N5" s="35">
        <v>0.01</v>
      </c>
      <c r="S5" s="289" t="s">
        <v>259</v>
      </c>
      <c r="T5" s="35">
        <v>0</v>
      </c>
      <c r="X5" s="50" t="s">
        <v>29</v>
      </c>
      <c r="Y5" s="50" t="s">
        <v>265</v>
      </c>
      <c r="AB5" s="11"/>
      <c r="AD5" s="252"/>
      <c r="AE5" s="253"/>
      <c r="AF5" s="253"/>
      <c r="AG5" s="253"/>
      <c r="AH5" s="260" t="s">
        <v>269</v>
      </c>
      <c r="AI5" s="260"/>
      <c r="AJ5" s="260"/>
      <c r="AK5" s="294" t="s">
        <v>270</v>
      </c>
    </row>
    <row r="6" spans="1:38" ht="42" customHeight="1" x14ac:dyDescent="0.15">
      <c r="A6" s="291">
        <v>1</v>
      </c>
      <c r="B6" s="42" t="s">
        <v>199</v>
      </c>
      <c r="C6" s="495">
        <v>0</v>
      </c>
      <c r="D6" s="495"/>
      <c r="E6" s="495"/>
      <c r="F6" s="495"/>
      <c r="G6" s="496"/>
      <c r="H6" s="481" t="s">
        <v>249</v>
      </c>
      <c r="I6" s="482"/>
      <c r="J6" s="31">
        <v>250</v>
      </c>
      <c r="L6" s="481" t="s">
        <v>254</v>
      </c>
      <c r="M6" s="482"/>
      <c r="N6" s="36">
        <v>0.75</v>
      </c>
      <c r="S6" s="289" t="s">
        <v>260</v>
      </c>
      <c r="T6" s="35">
        <v>0</v>
      </c>
      <c r="X6" s="50" t="s">
        <v>266</v>
      </c>
      <c r="Y6" s="34">
        <v>4.4999999999999997E-3</v>
      </c>
      <c r="AB6" s="11"/>
      <c r="AD6" s="247"/>
      <c r="AE6" s="248" t="s">
        <v>67</v>
      </c>
      <c r="AF6" s="508" t="s">
        <v>63</v>
      </c>
      <c r="AG6" s="508"/>
      <c r="AH6" s="249">
        <v>800</v>
      </c>
      <c r="AI6" s="249"/>
      <c r="AJ6" s="249"/>
      <c r="AK6" s="250">
        <v>1.6666666666666666E-2</v>
      </c>
    </row>
    <row r="7" spans="1:38" ht="24.95" customHeight="1" x14ac:dyDescent="0.15">
      <c r="A7" s="291">
        <v>1</v>
      </c>
      <c r="B7" s="42" t="s">
        <v>22</v>
      </c>
      <c r="C7" s="337">
        <v>0</v>
      </c>
      <c r="D7" s="337"/>
      <c r="E7" s="337"/>
      <c r="F7" s="337"/>
      <c r="G7" s="338"/>
      <c r="H7" s="481" t="s">
        <v>251</v>
      </c>
      <c r="I7" s="482"/>
      <c r="J7" s="28">
        <v>4</v>
      </c>
      <c r="L7" s="481" t="s">
        <v>255</v>
      </c>
      <c r="M7" s="482"/>
      <c r="N7" s="28">
        <v>1.5</v>
      </c>
      <c r="S7" s="512" t="s">
        <v>261</v>
      </c>
      <c r="T7" s="513"/>
      <c r="X7" s="50" t="s">
        <v>267</v>
      </c>
      <c r="Y7" s="34">
        <v>4.0000000000000001E-3</v>
      </c>
      <c r="AB7" s="11"/>
      <c r="AD7" s="251"/>
      <c r="AE7" s="261" t="s">
        <v>328</v>
      </c>
      <c r="AF7" s="509">
        <v>600</v>
      </c>
      <c r="AG7" s="509"/>
      <c r="AH7" s="259"/>
      <c r="AI7" s="259"/>
      <c r="AJ7" s="259"/>
      <c r="AK7" s="262">
        <v>10</v>
      </c>
    </row>
    <row r="8" spans="1:38" ht="24.95" customHeight="1" x14ac:dyDescent="0.15">
      <c r="A8" s="291">
        <v>1</v>
      </c>
      <c r="B8" s="42" t="s">
        <v>200</v>
      </c>
      <c r="C8" s="494">
        <v>0</v>
      </c>
      <c r="D8" s="495"/>
      <c r="E8" s="495"/>
      <c r="F8" s="495"/>
      <c r="G8" s="496"/>
      <c r="H8" s="481" t="s">
        <v>11</v>
      </c>
      <c r="I8" s="482"/>
      <c r="J8" s="28">
        <v>1.5</v>
      </c>
      <c r="L8" s="481" t="s">
        <v>256</v>
      </c>
      <c r="M8" s="482"/>
      <c r="N8" s="30">
        <v>1</v>
      </c>
      <c r="S8" s="29" t="s">
        <v>262</v>
      </c>
      <c r="T8" s="28">
        <v>0.9</v>
      </c>
      <c r="X8" s="50" t="s">
        <v>268</v>
      </c>
      <c r="Y8" s="34">
        <v>3.5000000000000001E-3</v>
      </c>
      <c r="AB8" s="11"/>
      <c r="AD8" s="505" t="s">
        <v>189</v>
      </c>
      <c r="AE8" s="506"/>
      <c r="AF8" s="506"/>
      <c r="AG8" s="506"/>
      <c r="AH8" s="506"/>
      <c r="AI8" s="506"/>
      <c r="AJ8" s="506"/>
      <c r="AK8" s="507"/>
    </row>
    <row r="9" spans="1:38" ht="23.25" customHeight="1" x14ac:dyDescent="0.15">
      <c r="A9" s="291">
        <v>1</v>
      </c>
      <c r="H9" s="481" t="s">
        <v>12</v>
      </c>
      <c r="I9" s="482"/>
      <c r="J9" s="28">
        <v>1.2</v>
      </c>
      <c r="L9" s="481" t="s">
        <v>257</v>
      </c>
      <c r="M9" s="482"/>
      <c r="N9" s="32">
        <v>150</v>
      </c>
      <c r="S9" s="29" t="s">
        <v>263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483" t="s">
        <v>203</v>
      </c>
      <c r="C11" s="491" t="s">
        <v>272</v>
      </c>
      <c r="D11" s="476" t="s">
        <v>273</v>
      </c>
      <c r="E11" s="477"/>
      <c r="F11" s="477"/>
      <c r="G11" s="478"/>
      <c r="H11" s="479" t="s">
        <v>279</v>
      </c>
      <c r="I11" s="480"/>
      <c r="J11" s="476" t="s">
        <v>281</v>
      </c>
      <c r="K11" s="477"/>
      <c r="L11" s="478"/>
      <c r="M11" s="479" t="s">
        <v>285</v>
      </c>
      <c r="N11" s="480"/>
      <c r="O11" s="479" t="s">
        <v>288</v>
      </c>
      <c r="P11" s="480"/>
      <c r="Q11" s="503" t="s">
        <v>289</v>
      </c>
      <c r="R11" s="504"/>
      <c r="S11" s="479" t="s">
        <v>15</v>
      </c>
      <c r="T11" s="480"/>
      <c r="U11" s="503" t="s">
        <v>128</v>
      </c>
      <c r="V11" s="504"/>
      <c r="W11" s="479" t="s">
        <v>293</v>
      </c>
      <c r="X11" s="480"/>
      <c r="Y11" s="473" t="s">
        <v>295</v>
      </c>
      <c r="Z11" s="500" t="s">
        <v>58</v>
      </c>
      <c r="AA11" s="479" t="s">
        <v>296</v>
      </c>
      <c r="AB11" s="486"/>
      <c r="AC11" s="486"/>
      <c r="AD11" s="486"/>
      <c r="AE11" s="486"/>
      <c r="AF11" s="486"/>
      <c r="AG11" s="486"/>
      <c r="AH11" s="480"/>
      <c r="AI11" s="473" t="s">
        <v>304</v>
      </c>
      <c r="AJ11" s="473" t="s">
        <v>305</v>
      </c>
      <c r="AK11" s="497" t="s">
        <v>306</v>
      </c>
    </row>
    <row r="12" spans="1:38" s="38" customFormat="1" ht="32.25" customHeight="1" x14ac:dyDescent="0.15">
      <c r="A12" s="292">
        <v>1</v>
      </c>
      <c r="B12" s="484"/>
      <c r="C12" s="492"/>
      <c r="D12" s="479" t="s">
        <v>274</v>
      </c>
      <c r="E12" s="486"/>
      <c r="F12" s="480"/>
      <c r="G12" s="473" t="s">
        <v>278</v>
      </c>
      <c r="H12" s="487" t="s">
        <v>280</v>
      </c>
      <c r="I12" s="488"/>
      <c r="J12" s="473" t="s">
        <v>282</v>
      </c>
      <c r="K12" s="473" t="s">
        <v>283</v>
      </c>
      <c r="L12" s="473" t="s">
        <v>284</v>
      </c>
      <c r="M12" s="473" t="s">
        <v>286</v>
      </c>
      <c r="N12" s="473" t="s">
        <v>287</v>
      </c>
      <c r="O12" s="473" t="s">
        <v>286</v>
      </c>
      <c r="P12" s="473" t="s">
        <v>287</v>
      </c>
      <c r="Q12" s="473" t="s">
        <v>286</v>
      </c>
      <c r="R12" s="473" t="s">
        <v>287</v>
      </c>
      <c r="S12" s="473" t="s">
        <v>291</v>
      </c>
      <c r="T12" s="473" t="s">
        <v>292</v>
      </c>
      <c r="U12" s="473" t="s">
        <v>142</v>
      </c>
      <c r="V12" s="473" t="s">
        <v>141</v>
      </c>
      <c r="W12" s="473" t="s">
        <v>59</v>
      </c>
      <c r="X12" s="473" t="s">
        <v>294</v>
      </c>
      <c r="Y12" s="474"/>
      <c r="Z12" s="501"/>
      <c r="AA12" s="479" t="s">
        <v>297</v>
      </c>
      <c r="AB12" s="486"/>
      <c r="AC12" s="486"/>
      <c r="AD12" s="486"/>
      <c r="AE12" s="480"/>
      <c r="AF12" s="479" t="s">
        <v>298</v>
      </c>
      <c r="AG12" s="486"/>
      <c r="AH12" s="480"/>
      <c r="AI12" s="474"/>
      <c r="AJ12" s="474"/>
      <c r="AK12" s="498"/>
      <c r="AL12" s="41"/>
    </row>
    <row r="13" spans="1:38" s="38" customFormat="1" ht="48" customHeight="1" x14ac:dyDescent="0.15">
      <c r="A13" s="292">
        <v>1</v>
      </c>
      <c r="B13" s="484"/>
      <c r="C13" s="493"/>
      <c r="D13" s="54" t="s">
        <v>275</v>
      </c>
      <c r="E13" s="318" t="s">
        <v>276</v>
      </c>
      <c r="F13" s="318" t="s">
        <v>277</v>
      </c>
      <c r="G13" s="475"/>
      <c r="H13" s="489"/>
      <c r="I13" s="490"/>
      <c r="J13" s="475"/>
      <c r="K13" s="475"/>
      <c r="L13" s="475"/>
      <c r="M13" s="475"/>
      <c r="N13" s="475"/>
      <c r="O13" s="475"/>
      <c r="P13" s="475"/>
      <c r="Q13" s="475"/>
      <c r="R13" s="475"/>
      <c r="S13" s="475"/>
      <c r="T13" s="475"/>
      <c r="U13" s="475"/>
      <c r="V13" s="475"/>
      <c r="W13" s="475"/>
      <c r="X13" s="475"/>
      <c r="Y13" s="475"/>
      <c r="Z13" s="502"/>
      <c r="AA13" s="54" t="s">
        <v>299</v>
      </c>
      <c r="AB13" s="54" t="s">
        <v>300</v>
      </c>
      <c r="AC13" s="264" t="s">
        <v>143</v>
      </c>
      <c r="AD13" s="52" t="s">
        <v>40</v>
      </c>
      <c r="AE13" s="52" t="s">
        <v>41</v>
      </c>
      <c r="AF13" s="52" t="s">
        <v>301</v>
      </c>
      <c r="AG13" s="54" t="s">
        <v>302</v>
      </c>
      <c r="AH13" s="52" t="s">
        <v>303</v>
      </c>
      <c r="AI13" s="474"/>
      <c r="AJ13" s="474"/>
      <c r="AK13" s="498"/>
    </row>
    <row r="14" spans="1:38" s="38" customFormat="1" ht="33" customHeight="1" x14ac:dyDescent="0.15">
      <c r="A14" s="292">
        <v>1</v>
      </c>
      <c r="B14" s="485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68</v>
      </c>
      <c r="I14" s="290" t="s">
        <v>69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475"/>
      <c r="AJ14" s="475"/>
      <c r="AK14" s="499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85" priority="61524" operator="equal">
      <formula>0</formula>
    </cfRule>
  </conditionalFormatting>
  <conditionalFormatting sqref="C4:G6">
    <cfRule type="cellIs" dxfId="84" priority="482" operator="equal">
      <formula>0</formula>
    </cfRule>
  </conditionalFormatting>
  <conditionalFormatting sqref="C7:G8">
    <cfRule type="cellIs" dxfId="83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276225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266700</xdr:colOff>
                    <xdr:row>5</xdr:row>
                    <xdr:rowOff>495300</xdr:rowOff>
                  </from>
                  <to>
                    <xdr:col>6</xdr:col>
                    <xdr:colOff>838200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78</v>
      </c>
      <c r="B1" t="s">
        <v>81</v>
      </c>
      <c r="C1" t="s">
        <v>84</v>
      </c>
      <c r="D1" t="s">
        <v>82</v>
      </c>
      <c r="E1" s="217" t="s">
        <v>83</v>
      </c>
      <c r="F1" s="109" t="s">
        <v>124</v>
      </c>
      <c r="G1" t="s">
        <v>137</v>
      </c>
    </row>
    <row r="2" spans="1:7" s="109" customFormat="1" x14ac:dyDescent="0.2">
      <c r="A2" s="197"/>
      <c r="B2"/>
      <c r="C2" s="206"/>
      <c r="D2" s="206"/>
      <c r="F2" s="206"/>
      <c r="G2" s="206"/>
    </row>
    <row r="3" spans="1:7" s="109" customFormat="1" x14ac:dyDescent="0.2">
      <c r="A3" s="197"/>
      <c r="B3"/>
      <c r="C3" s="206"/>
      <c r="D3" s="206"/>
      <c r="F3" s="206"/>
      <c r="G3" s="206"/>
    </row>
    <row r="4" spans="1:7" s="109" customFormat="1" x14ac:dyDescent="0.2">
      <c r="A4" s="197"/>
      <c r="B4"/>
      <c r="C4" s="206"/>
      <c r="D4" s="206"/>
      <c r="F4" s="206"/>
      <c r="G4" s="206"/>
    </row>
    <row r="5" spans="1:7" s="109" customFormat="1" x14ac:dyDescent="0.2">
      <c r="A5" s="197"/>
      <c r="B5"/>
      <c r="C5" s="206"/>
      <c r="D5" s="206"/>
      <c r="F5" s="206"/>
      <c r="G5" s="206"/>
    </row>
    <row r="6" spans="1:7" s="109" customFormat="1" x14ac:dyDescent="0.2">
      <c r="A6" s="197"/>
      <c r="B6"/>
      <c r="C6" s="206"/>
      <c r="D6" s="206"/>
      <c r="F6" s="206"/>
      <c r="G6" s="206"/>
    </row>
    <row r="7" spans="1:7" s="109" customFormat="1" x14ac:dyDescent="0.2">
      <c r="A7" s="197"/>
      <c r="B7"/>
      <c r="C7" s="206"/>
      <c r="D7" s="206"/>
      <c r="F7" s="206"/>
      <c r="G7" s="206"/>
    </row>
    <row r="8" spans="1:7" s="109" customFormat="1" x14ac:dyDescent="0.2">
      <c r="A8" s="197"/>
      <c r="B8"/>
      <c r="C8" s="206"/>
      <c r="D8" s="206"/>
      <c r="F8" s="206"/>
      <c r="G8" s="206"/>
    </row>
    <row r="9" spans="1:7" s="109" customFormat="1" x14ac:dyDescent="0.2">
      <c r="A9" s="197"/>
      <c r="B9"/>
      <c r="C9" s="206"/>
      <c r="D9" s="206"/>
      <c r="F9" s="206"/>
      <c r="G9" s="206"/>
    </row>
    <row r="10" spans="1:7" s="109" customFormat="1" x14ac:dyDescent="0.2">
      <c r="A10" s="197"/>
      <c r="B10"/>
      <c r="C10" s="206"/>
      <c r="D10" s="206"/>
      <c r="F10" s="206"/>
      <c r="G10" s="206"/>
    </row>
    <row r="11" spans="1:7" s="109" customFormat="1" x14ac:dyDescent="0.2">
      <c r="A11" s="197"/>
      <c r="B11"/>
      <c r="C11" s="206"/>
      <c r="D11" s="206"/>
      <c r="F11" s="206"/>
      <c r="G11" s="206"/>
    </row>
    <row r="12" spans="1:7" s="109" customFormat="1" x14ac:dyDescent="0.2">
      <c r="A12" s="197"/>
      <c r="B12"/>
      <c r="C12" s="206"/>
      <c r="D12" s="206"/>
      <c r="F12" s="206"/>
      <c r="G12" s="206"/>
    </row>
    <row r="13" spans="1:7" s="109" customFormat="1" x14ac:dyDescent="0.2">
      <c r="A13" s="197"/>
      <c r="B13"/>
      <c r="C13" s="206"/>
      <c r="D13" s="206"/>
      <c r="F13" s="206"/>
      <c r="G13" s="206"/>
    </row>
    <row r="14" spans="1:7" s="109" customFormat="1" x14ac:dyDescent="0.2">
      <c r="A14" s="197"/>
      <c r="B14"/>
      <c r="C14" s="206"/>
      <c r="D14" s="206"/>
      <c r="F14" s="206"/>
      <c r="G14" s="206"/>
    </row>
    <row r="15" spans="1:7" s="109" customFormat="1" x14ac:dyDescent="0.2">
      <c r="A15" s="197"/>
      <c r="B15"/>
      <c r="C15" s="206"/>
      <c r="D15" s="206"/>
      <c r="F15" s="206"/>
      <c r="G15" s="206"/>
    </row>
    <row r="16" spans="1:7" s="109" customFormat="1" x14ac:dyDescent="0.2">
      <c r="A16" s="197"/>
      <c r="B16"/>
      <c r="C16" s="206"/>
      <c r="D16" s="206"/>
      <c r="F16" s="206"/>
      <c r="G16" s="206"/>
    </row>
    <row r="17" spans="1:7" s="109" customFormat="1" x14ac:dyDescent="0.2">
      <c r="A17" s="197"/>
      <c r="B17"/>
      <c r="C17" s="206"/>
      <c r="D17" s="206"/>
      <c r="F17" s="206"/>
      <c r="G17" s="206"/>
    </row>
    <row r="18" spans="1:7" s="109" customFormat="1" x14ac:dyDescent="0.2">
      <c r="A18" s="197"/>
      <c r="B18"/>
      <c r="C18" s="206"/>
      <c r="D18" s="206"/>
      <c r="F18" s="206"/>
      <c r="G18" s="206"/>
    </row>
    <row r="19" spans="1:7" s="109" customFormat="1" x14ac:dyDescent="0.2">
      <c r="A19" s="197"/>
      <c r="B19"/>
      <c r="C19" s="206"/>
      <c r="D19" s="206"/>
      <c r="F19" s="206"/>
      <c r="G19" s="206"/>
    </row>
    <row r="20" spans="1:7" s="109" customFormat="1" x14ac:dyDescent="0.2">
      <c r="A20" s="197"/>
      <c r="B20"/>
      <c r="C20" s="206"/>
      <c r="D20" s="206"/>
      <c r="F20" s="206"/>
      <c r="G20" s="206"/>
    </row>
    <row r="21" spans="1:7" s="109" customFormat="1" x14ac:dyDescent="0.2">
      <c r="A21" s="197"/>
      <c r="B21"/>
      <c r="C21" s="206"/>
      <c r="D21" s="206"/>
      <c r="F21" s="206"/>
      <c r="G21" s="206"/>
    </row>
    <row r="22" spans="1:7" s="109" customFormat="1" x14ac:dyDescent="0.2">
      <c r="A22" s="197"/>
      <c r="B22"/>
      <c r="C22" s="206"/>
      <c r="D22" s="206"/>
      <c r="F22" s="206"/>
      <c r="G22" s="206"/>
    </row>
    <row r="23" spans="1:7" s="109" customFormat="1" x14ac:dyDescent="0.2">
      <c r="A23" s="197"/>
      <c r="B23"/>
      <c r="C23" s="206"/>
      <c r="D23" s="206"/>
      <c r="F23" s="206"/>
      <c r="G23" s="206"/>
    </row>
    <row r="24" spans="1:7" s="109" customFormat="1" x14ac:dyDescent="0.2">
      <c r="A24" s="197"/>
      <c r="B24"/>
      <c r="C24" s="206"/>
      <c r="D24" s="206"/>
      <c r="F24" s="206"/>
      <c r="G24" s="206"/>
    </row>
    <row r="25" spans="1:7" s="109" customFormat="1" x14ac:dyDescent="0.2">
      <c r="A25" s="197"/>
      <c r="B25"/>
      <c r="C25" s="206"/>
      <c r="D25" s="206"/>
      <c r="F25" s="206"/>
      <c r="G25" s="206"/>
    </row>
    <row r="26" spans="1:7" s="109" customFormat="1" x14ac:dyDescent="0.2">
      <c r="A26" s="197"/>
      <c r="B26"/>
      <c r="C26" s="206"/>
      <c r="D26" s="206"/>
      <c r="F26" s="206"/>
      <c r="G26" s="206"/>
    </row>
    <row r="27" spans="1:7" s="109" customFormat="1" x14ac:dyDescent="0.2">
      <c r="A27" s="197"/>
      <c r="B27"/>
      <c r="C27" s="206"/>
      <c r="D27" s="206"/>
      <c r="F27" s="206"/>
      <c r="G27" s="206"/>
    </row>
    <row r="28" spans="1:7" s="109" customFormat="1" x14ac:dyDescent="0.2">
      <c r="A28" s="197"/>
      <c r="B28"/>
      <c r="C28" s="206"/>
      <c r="D28" s="206"/>
      <c r="F28" s="206"/>
      <c r="G28" s="206"/>
    </row>
    <row r="29" spans="1:7" s="109" customFormat="1" x14ac:dyDescent="0.2">
      <c r="A29" s="197"/>
      <c r="B29"/>
      <c r="C29" s="206"/>
      <c r="D29" s="206"/>
      <c r="F29" s="206"/>
      <c r="G29" s="206"/>
    </row>
    <row r="30" spans="1:7" s="109" customFormat="1" x14ac:dyDescent="0.2">
      <c r="A30" s="197"/>
      <c r="B30"/>
      <c r="C30" s="206"/>
      <c r="D30" s="206"/>
      <c r="F30" s="206"/>
      <c r="G30" s="206"/>
    </row>
    <row r="31" spans="1:7" s="109" customFormat="1" x14ac:dyDescent="0.2">
      <c r="A31" s="197"/>
      <c r="B31"/>
      <c r="C31" s="206"/>
      <c r="D31" s="206"/>
      <c r="F31" s="206"/>
      <c r="G31" s="206"/>
    </row>
    <row r="32" spans="1:7" s="109" customFormat="1" x14ac:dyDescent="0.2">
      <c r="A32" s="197"/>
      <c r="B32"/>
      <c r="C32" s="206"/>
      <c r="D32" s="206"/>
      <c r="F32" s="206"/>
      <c r="G32" s="206"/>
    </row>
    <row r="33" spans="1:7" s="109" customFormat="1" x14ac:dyDescent="0.2">
      <c r="A33" s="197"/>
      <c r="B33"/>
      <c r="C33" s="206"/>
      <c r="D33" s="206"/>
      <c r="F33" s="206"/>
      <c r="G33" s="206"/>
    </row>
    <row r="34" spans="1:7" s="109" customFormat="1" x14ac:dyDescent="0.2">
      <c r="A34" s="197"/>
      <c r="B34"/>
      <c r="C34" s="206"/>
      <c r="D34" s="206"/>
      <c r="F34" s="206"/>
      <c r="G34" s="206"/>
    </row>
    <row r="35" spans="1:7" s="109" customFormat="1" x14ac:dyDescent="0.2">
      <c r="A35" s="197"/>
      <c r="B35"/>
      <c r="C35" s="206"/>
      <c r="D35" s="206"/>
      <c r="F35" s="206"/>
      <c r="G35" s="206"/>
    </row>
    <row r="36" spans="1:7" s="109" customFormat="1" x14ac:dyDescent="0.2">
      <c r="A36" s="197"/>
      <c r="B36"/>
      <c r="C36" s="206"/>
      <c r="D36" s="206"/>
      <c r="F36" s="206"/>
      <c r="G36" s="206"/>
    </row>
    <row r="37" spans="1:7" s="109" customFormat="1" x14ac:dyDescent="0.2">
      <c r="A37" s="197"/>
      <c r="B37"/>
      <c r="C37" s="206"/>
      <c r="D37" s="206"/>
      <c r="F37" s="206"/>
      <c r="G37" s="206"/>
    </row>
    <row r="38" spans="1:7" s="109" customFormat="1" x14ac:dyDescent="0.2">
      <c r="A38" s="197"/>
      <c r="B38"/>
      <c r="C38" s="206"/>
      <c r="D38" s="206"/>
      <c r="F38" s="206"/>
      <c r="G38" s="206"/>
    </row>
    <row r="39" spans="1:7" s="109" customFormat="1" x14ac:dyDescent="0.2">
      <c r="A39" s="197"/>
      <c r="B39"/>
      <c r="C39" s="206"/>
      <c r="D39" s="206"/>
      <c r="F39" s="206"/>
      <c r="G39" s="206"/>
    </row>
    <row r="40" spans="1:7" s="109" customFormat="1" x14ac:dyDescent="0.2">
      <c r="A40" s="197"/>
      <c r="B40"/>
      <c r="C40" s="206"/>
      <c r="D40" s="206"/>
      <c r="F40" s="206"/>
      <c r="G40" s="206"/>
    </row>
    <row r="41" spans="1:7" s="109" customFormat="1" x14ac:dyDescent="0.2">
      <c r="A41" s="197"/>
      <c r="B41"/>
      <c r="C41" s="206"/>
      <c r="D41" s="206"/>
      <c r="F41" s="206"/>
      <c r="G41" s="206"/>
    </row>
    <row r="42" spans="1:7" s="109" customFormat="1" x14ac:dyDescent="0.2">
      <c r="A42" s="197"/>
      <c r="B42"/>
      <c r="C42" s="206"/>
      <c r="D42" s="206"/>
      <c r="F42" s="206"/>
      <c r="G42" s="206"/>
    </row>
    <row r="43" spans="1:7" s="109" customFormat="1" x14ac:dyDescent="0.2">
      <c r="A43" s="197"/>
      <c r="B43"/>
      <c r="C43" s="206"/>
      <c r="D43" s="206"/>
      <c r="F43" s="206"/>
      <c r="G43" s="206"/>
    </row>
    <row r="44" spans="1:7" s="109" customFormat="1" x14ac:dyDescent="0.2">
      <c r="A44" s="197"/>
      <c r="B44"/>
      <c r="C44" s="206"/>
      <c r="D44" s="206"/>
      <c r="F44" s="206"/>
      <c r="G44" s="206"/>
    </row>
    <row r="45" spans="1:7" s="109" customFormat="1" x14ac:dyDescent="0.2">
      <c r="A45" s="197"/>
      <c r="B45"/>
      <c r="C45" s="206"/>
      <c r="D45" s="206"/>
      <c r="F45" s="206"/>
      <c r="G45" s="206"/>
    </row>
    <row r="46" spans="1:7" s="109" customFormat="1" x14ac:dyDescent="0.2">
      <c r="A46" s="197"/>
      <c r="B46"/>
      <c r="C46" s="206"/>
      <c r="D46" s="206"/>
      <c r="F46" s="206"/>
      <c r="G46" s="206"/>
    </row>
    <row r="47" spans="1:7" s="109" customFormat="1" x14ac:dyDescent="0.2">
      <c r="A47" s="197"/>
      <c r="B47"/>
      <c r="C47" s="206"/>
      <c r="D47" s="206"/>
      <c r="F47" s="206"/>
      <c r="G47" s="206"/>
    </row>
    <row r="48" spans="1:7" s="109" customFormat="1" x14ac:dyDescent="0.2">
      <c r="A48" s="197"/>
      <c r="B48"/>
      <c r="C48" s="206"/>
      <c r="D48" s="206"/>
      <c r="F48" s="206"/>
      <c r="G48" s="206"/>
    </row>
    <row r="49" spans="1:7" s="109" customFormat="1" x14ac:dyDescent="0.2">
      <c r="A49" s="197"/>
      <c r="B49"/>
      <c r="C49" s="206"/>
      <c r="D49" s="206"/>
      <c r="F49" s="206"/>
      <c r="G49" s="206"/>
    </row>
    <row r="50" spans="1:7" s="109" customFormat="1" x14ac:dyDescent="0.2">
      <c r="A50" s="197"/>
      <c r="B50"/>
      <c r="C50" s="206"/>
      <c r="D50" s="206"/>
      <c r="F50" s="206"/>
      <c r="G50" s="206"/>
    </row>
    <row r="51" spans="1:7" s="109" customFormat="1" x14ac:dyDescent="0.2">
      <c r="A51" s="197"/>
      <c r="B51"/>
      <c r="C51" s="206"/>
      <c r="D51" s="206"/>
      <c r="F51" s="206"/>
      <c r="G51" s="206"/>
    </row>
    <row r="52" spans="1:7" s="109" customFormat="1" x14ac:dyDescent="0.2">
      <c r="A52" s="197"/>
      <c r="B52"/>
      <c r="C52" s="206"/>
      <c r="D52" s="206"/>
      <c r="F52" s="206"/>
      <c r="G52" s="206"/>
    </row>
    <row r="53" spans="1:7" s="109" customFormat="1" x14ac:dyDescent="0.2">
      <c r="A53" s="197"/>
      <c r="B53"/>
      <c r="C53" s="206"/>
      <c r="D53" s="206"/>
      <c r="F53" s="206"/>
      <c r="G53" s="206"/>
    </row>
    <row r="54" spans="1:7" s="109" customFormat="1" x14ac:dyDescent="0.2">
      <c r="A54" s="197"/>
      <c r="B54"/>
      <c r="C54" s="206"/>
      <c r="D54" s="206"/>
      <c r="F54" s="206"/>
      <c r="G54" s="206"/>
    </row>
    <row r="55" spans="1:7" s="109" customFormat="1" x14ac:dyDescent="0.2">
      <c r="A55" s="197"/>
      <c r="B55"/>
      <c r="C55" s="206"/>
      <c r="D55" s="206"/>
      <c r="F55" s="206"/>
      <c r="G55" s="206"/>
    </row>
    <row r="56" spans="1:7" s="109" customFormat="1" x14ac:dyDescent="0.2">
      <c r="A56" s="197"/>
      <c r="B56"/>
      <c r="C56" s="206"/>
      <c r="D56" s="206"/>
      <c r="F56" s="206"/>
      <c r="G56" s="206"/>
    </row>
    <row r="57" spans="1:7" s="109" customFormat="1" x14ac:dyDescent="0.2">
      <c r="A57" s="197"/>
      <c r="B57"/>
      <c r="C57" s="206"/>
      <c r="D57" s="206"/>
      <c r="F57" s="206"/>
      <c r="G57" s="206"/>
    </row>
    <row r="58" spans="1:7" s="109" customFormat="1" x14ac:dyDescent="0.2">
      <c r="A58" s="197"/>
      <c r="B58"/>
      <c r="C58" s="206"/>
      <c r="D58" s="206"/>
      <c r="F58" s="206"/>
      <c r="G58" s="206"/>
    </row>
    <row r="59" spans="1:7" s="109" customFormat="1" x14ac:dyDescent="0.2">
      <c r="A59" s="197"/>
      <c r="B59"/>
      <c r="C59" s="206"/>
      <c r="D59" s="206"/>
      <c r="F59" s="206"/>
      <c r="G59" s="206"/>
    </row>
    <row r="60" spans="1:7" s="109" customFormat="1" x14ac:dyDescent="0.2">
      <c r="A60" s="197"/>
      <c r="B60"/>
      <c r="C60" s="206"/>
      <c r="D60" s="206"/>
      <c r="F60" s="206"/>
      <c r="G60" s="206"/>
    </row>
    <row r="61" spans="1:7" s="109" customFormat="1" x14ac:dyDescent="0.2">
      <c r="A61" s="197"/>
      <c r="B61"/>
      <c r="C61" s="206"/>
      <c r="D61" s="206"/>
      <c r="F61" s="206"/>
      <c r="G61" s="206"/>
    </row>
    <row r="62" spans="1:7" s="109" customFormat="1" x14ac:dyDescent="0.2">
      <c r="A62" s="197"/>
      <c r="B62"/>
      <c r="C62" s="206"/>
      <c r="D62" s="206"/>
      <c r="F62" s="206"/>
      <c r="G62" s="206"/>
    </row>
    <row r="63" spans="1:7" s="109" customFormat="1" x14ac:dyDescent="0.2">
      <c r="A63" s="197"/>
      <c r="B63"/>
      <c r="C63" s="206"/>
      <c r="D63" s="206"/>
      <c r="F63" s="206"/>
      <c r="G63" s="206"/>
    </row>
    <row r="64" spans="1:7" s="109" customFormat="1" x14ac:dyDescent="0.2">
      <c r="A64" s="197"/>
      <c r="B64"/>
      <c r="C64" s="206"/>
      <c r="D64" s="206"/>
      <c r="F64" s="206"/>
      <c r="G64" s="206"/>
    </row>
    <row r="65" spans="1:7" s="109" customFormat="1" x14ac:dyDescent="0.2">
      <c r="A65" s="197"/>
      <c r="B65"/>
      <c r="C65" s="206"/>
      <c r="D65" s="206"/>
      <c r="F65" s="206"/>
      <c r="G65" s="206"/>
    </row>
    <row r="66" spans="1:7" s="109" customFormat="1" x14ac:dyDescent="0.2">
      <c r="A66" s="197"/>
      <c r="B66"/>
      <c r="C66" s="206"/>
      <c r="D66" s="206"/>
      <c r="F66" s="206"/>
      <c r="G66" s="206"/>
    </row>
    <row r="67" spans="1:7" s="109" customFormat="1" x14ac:dyDescent="0.2">
      <c r="A67" s="197"/>
      <c r="B67"/>
      <c r="C67" s="206"/>
      <c r="D67" s="206"/>
      <c r="F67" s="206"/>
      <c r="G67" s="206"/>
    </row>
    <row r="68" spans="1:7" s="109" customFormat="1" x14ac:dyDescent="0.2">
      <c r="A68" s="197"/>
      <c r="B68"/>
      <c r="C68" s="206"/>
      <c r="D68" s="206"/>
      <c r="F68" s="206"/>
      <c r="G68" s="206"/>
    </row>
    <row r="69" spans="1:7" s="109" customFormat="1" x14ac:dyDescent="0.2">
      <c r="A69" s="197"/>
      <c r="B69"/>
      <c r="C69" s="206"/>
      <c r="D69" s="206"/>
      <c r="F69" s="206"/>
      <c r="G69" s="206"/>
    </row>
    <row r="70" spans="1:7" s="109" customFormat="1" x14ac:dyDescent="0.2">
      <c r="A70" s="197"/>
      <c r="B70"/>
      <c r="C70" s="206"/>
      <c r="D70" s="206"/>
      <c r="F70" s="206"/>
      <c r="G70" s="206"/>
    </row>
    <row r="71" spans="1:7" s="109" customFormat="1" x14ac:dyDescent="0.2">
      <c r="A71" s="197"/>
      <c r="B71"/>
      <c r="C71" s="206"/>
      <c r="D71" s="206"/>
      <c r="F71" s="206"/>
      <c r="G71" s="206"/>
    </row>
    <row r="72" spans="1:7" s="109" customFormat="1" x14ac:dyDescent="0.2">
      <c r="A72" s="197"/>
      <c r="B72"/>
      <c r="C72" s="206"/>
      <c r="D72" s="206"/>
      <c r="F72" s="206"/>
      <c r="G72" s="206"/>
    </row>
    <row r="73" spans="1:7" s="109" customFormat="1" x14ac:dyDescent="0.2">
      <c r="A73" s="197"/>
      <c r="B73"/>
      <c r="C73" s="206"/>
      <c r="D73" s="206"/>
      <c r="F73" s="206"/>
      <c r="G73" s="206"/>
    </row>
    <row r="74" spans="1:7" s="109" customFormat="1" x14ac:dyDescent="0.2">
      <c r="A74" s="197"/>
      <c r="B74"/>
      <c r="C74" s="206"/>
      <c r="D74" s="206"/>
      <c r="F74" s="206"/>
      <c r="G74" s="206"/>
    </row>
    <row r="75" spans="1:7" s="109" customFormat="1" x14ac:dyDescent="0.2">
      <c r="A75" s="197"/>
      <c r="B75"/>
      <c r="C75" s="206"/>
      <c r="D75" s="206"/>
      <c r="F75" s="206"/>
      <c r="G75" s="206"/>
    </row>
    <row r="76" spans="1:7" s="109" customFormat="1" x14ac:dyDescent="0.2">
      <c r="A76" s="197"/>
      <c r="B76"/>
      <c r="C76" s="206"/>
      <c r="D76" s="206"/>
      <c r="F76" s="206"/>
      <c r="G76" s="206"/>
    </row>
    <row r="77" spans="1:7" s="109" customFormat="1" x14ac:dyDescent="0.2">
      <c r="A77" s="197"/>
      <c r="B77"/>
      <c r="C77" s="206"/>
      <c r="D77" s="206"/>
      <c r="F77" s="206"/>
      <c r="G77" s="206"/>
    </row>
    <row r="78" spans="1:7" s="109" customFormat="1" x14ac:dyDescent="0.2">
      <c r="A78" s="197"/>
      <c r="B78"/>
      <c r="C78" s="206"/>
      <c r="D78" s="206"/>
      <c r="F78" s="206"/>
      <c r="G78" s="206"/>
    </row>
    <row r="79" spans="1:7" s="109" customFormat="1" x14ac:dyDescent="0.2">
      <c r="A79" s="197"/>
      <c r="B79"/>
      <c r="C79" s="206"/>
      <c r="D79" s="206"/>
      <c r="F79" s="206"/>
      <c r="G79" s="206"/>
    </row>
    <row r="80" spans="1:7" s="109" customFormat="1" x14ac:dyDescent="0.2">
      <c r="A80" s="197"/>
      <c r="B80"/>
      <c r="C80" s="206"/>
      <c r="D80" s="206"/>
      <c r="F80" s="206"/>
      <c r="G80" s="206"/>
    </row>
    <row r="81" spans="1:7" s="109" customFormat="1" x14ac:dyDescent="0.2">
      <c r="A81" s="197"/>
      <c r="B81"/>
      <c r="C81" s="206"/>
      <c r="D81" s="206"/>
      <c r="F81" s="206"/>
      <c r="G81" s="206"/>
    </row>
    <row r="82" spans="1:7" s="109" customFormat="1" x14ac:dyDescent="0.2">
      <c r="A82" s="197"/>
      <c r="B82"/>
      <c r="C82" s="206"/>
      <c r="D82" s="206"/>
      <c r="F82" s="206"/>
      <c r="G82" s="206"/>
    </row>
    <row r="83" spans="1:7" s="109" customFormat="1" x14ac:dyDescent="0.2">
      <c r="A83" s="197"/>
      <c r="B83"/>
      <c r="C83" s="206"/>
      <c r="D83" s="206"/>
      <c r="F83" s="206"/>
      <c r="G83" s="206"/>
    </row>
    <row r="84" spans="1:7" s="109" customFormat="1" x14ac:dyDescent="0.2">
      <c r="A84" s="197"/>
      <c r="B84"/>
      <c r="C84" s="206"/>
      <c r="D84" s="206"/>
      <c r="F84" s="206"/>
      <c r="G84" s="206"/>
    </row>
    <row r="85" spans="1:7" s="109" customFormat="1" x14ac:dyDescent="0.2">
      <c r="A85" s="197"/>
      <c r="B85"/>
      <c r="C85" s="206"/>
      <c r="D85" s="206"/>
      <c r="F85" s="206"/>
      <c r="G85" s="206"/>
    </row>
    <row r="86" spans="1:7" s="109" customFormat="1" x14ac:dyDescent="0.2">
      <c r="A86" s="197"/>
      <c r="B86"/>
      <c r="C86" s="206"/>
      <c r="D86" s="206"/>
      <c r="F86" s="206"/>
      <c r="G86" s="206"/>
    </row>
    <row r="87" spans="1:7" s="109" customFormat="1" x14ac:dyDescent="0.2">
      <c r="A87" s="197"/>
      <c r="B87"/>
      <c r="C87" s="206"/>
      <c r="D87" s="206"/>
      <c r="F87" s="206"/>
      <c r="G87" s="206"/>
    </row>
    <row r="88" spans="1:7" s="109" customFormat="1" x14ac:dyDescent="0.2">
      <c r="A88" s="197"/>
      <c r="B88"/>
      <c r="C88" s="206"/>
      <c r="D88" s="206"/>
      <c r="F88" s="206"/>
      <c r="G88" s="206"/>
    </row>
    <row r="89" spans="1:7" s="109" customFormat="1" x14ac:dyDescent="0.2">
      <c r="A89" s="197"/>
      <c r="B89"/>
      <c r="C89" s="206"/>
      <c r="D89" s="206"/>
      <c r="F89" s="206"/>
      <c r="G89" s="206"/>
    </row>
    <row r="90" spans="1:7" s="109" customFormat="1" x14ac:dyDescent="0.2">
      <c r="A90" s="197"/>
      <c r="B90"/>
      <c r="C90" s="206"/>
      <c r="D90" s="206"/>
      <c r="F90" s="206"/>
      <c r="G90" s="206"/>
    </row>
    <row r="91" spans="1:7" s="109" customFormat="1" x14ac:dyDescent="0.2">
      <c r="A91" s="197"/>
      <c r="B91"/>
      <c r="C91" s="206"/>
      <c r="D91" s="206"/>
      <c r="F91" s="206"/>
      <c r="G91" s="206"/>
    </row>
    <row r="92" spans="1:7" s="109" customFormat="1" x14ac:dyDescent="0.2">
      <c r="A92" s="197"/>
      <c r="B92"/>
      <c r="C92" s="206"/>
      <c r="D92" s="206"/>
      <c r="F92" s="206"/>
      <c r="G92" s="206"/>
    </row>
    <row r="93" spans="1:7" s="109" customFormat="1" x14ac:dyDescent="0.2">
      <c r="A93" s="197"/>
      <c r="B93"/>
      <c r="C93" s="206"/>
      <c r="D93" s="206"/>
      <c r="F93" s="206"/>
      <c r="G93" s="206"/>
    </row>
    <row r="94" spans="1:7" s="109" customFormat="1" x14ac:dyDescent="0.2">
      <c r="A94" s="197"/>
      <c r="B94"/>
      <c r="C94" s="206"/>
      <c r="D94" s="206"/>
      <c r="F94" s="206"/>
      <c r="G94" s="206"/>
    </row>
    <row r="95" spans="1:7" s="109" customFormat="1" x14ac:dyDescent="0.2">
      <c r="A95" s="197"/>
      <c r="B95"/>
      <c r="C95" s="206"/>
      <c r="D95" s="206"/>
      <c r="F95" s="206"/>
      <c r="G95" s="206"/>
    </row>
    <row r="96" spans="1:7" s="109" customFormat="1" x14ac:dyDescent="0.2">
      <c r="A96" s="197"/>
      <c r="B96"/>
      <c r="C96" s="206"/>
      <c r="D96" s="206"/>
      <c r="F96" s="206"/>
      <c r="G96" s="206"/>
    </row>
    <row r="97" spans="1:7" s="109" customFormat="1" x14ac:dyDescent="0.2">
      <c r="A97" s="197"/>
      <c r="B97"/>
      <c r="C97" s="206"/>
      <c r="D97" s="206"/>
      <c r="F97" s="206"/>
      <c r="G97" s="206"/>
    </row>
    <row r="98" spans="1:7" s="109" customFormat="1" x14ac:dyDescent="0.2">
      <c r="A98" s="197"/>
      <c r="B98"/>
      <c r="C98" s="206"/>
      <c r="D98" s="206"/>
      <c r="F98" s="206"/>
      <c r="G98" s="206"/>
    </row>
    <row r="99" spans="1:7" s="109" customFormat="1" x14ac:dyDescent="0.2">
      <c r="A99" s="197"/>
      <c r="B99"/>
      <c r="C99" s="206"/>
      <c r="D99" s="206"/>
      <c r="F99" s="206"/>
      <c r="G99" s="206"/>
    </row>
    <row r="100" spans="1:7" s="109" customFormat="1" x14ac:dyDescent="0.2">
      <c r="A100" s="197"/>
      <c r="B100"/>
      <c r="C100" s="206"/>
      <c r="D100" s="206"/>
      <c r="F100" s="206"/>
      <c r="G100" s="206"/>
    </row>
    <row r="101" spans="1:7" s="109" customFormat="1" x14ac:dyDescent="0.2">
      <c r="A101" s="197"/>
      <c r="B101"/>
      <c r="C101" s="206"/>
      <c r="D101" s="206"/>
      <c r="F101" s="206"/>
      <c r="G101" s="206"/>
    </row>
    <row r="102" spans="1:7" s="109" customFormat="1" x14ac:dyDescent="0.2">
      <c r="A102" s="197"/>
      <c r="B102"/>
      <c r="C102" s="206"/>
      <c r="D102" s="206"/>
      <c r="F102" s="206"/>
      <c r="G102" s="206"/>
    </row>
    <row r="103" spans="1:7" s="109" customFormat="1" x14ac:dyDescent="0.2">
      <c r="A103" s="197"/>
      <c r="B103"/>
      <c r="C103" s="206"/>
      <c r="D103" s="206"/>
      <c r="F103" s="206"/>
      <c r="G103" s="206"/>
    </row>
    <row r="104" spans="1:7" s="109" customFormat="1" x14ac:dyDescent="0.2">
      <c r="A104" s="197"/>
      <c r="B104"/>
      <c r="C104" s="206"/>
      <c r="D104" s="206"/>
      <c r="F104" s="206"/>
      <c r="G104" s="206"/>
    </row>
    <row r="105" spans="1:7" s="109" customFormat="1" x14ac:dyDescent="0.2">
      <c r="A105" s="197"/>
      <c r="B105"/>
      <c r="C105" s="206"/>
      <c r="D105" s="206"/>
      <c r="F105" s="206"/>
      <c r="G105" s="206"/>
    </row>
    <row r="106" spans="1:7" s="109" customFormat="1" x14ac:dyDescent="0.2">
      <c r="A106" s="197"/>
      <c r="B106"/>
      <c r="C106" s="206"/>
      <c r="D106" s="206"/>
      <c r="F106" s="206"/>
      <c r="G106" s="206"/>
    </row>
    <row r="107" spans="1:7" s="109" customFormat="1" x14ac:dyDescent="0.2">
      <c r="A107" s="197"/>
      <c r="B107"/>
      <c r="C107" s="206"/>
      <c r="D107" s="206"/>
      <c r="F107" s="206"/>
      <c r="G107" s="206"/>
    </row>
    <row r="108" spans="1:7" s="109" customFormat="1" x14ac:dyDescent="0.2">
      <c r="A108" s="197"/>
      <c r="B108"/>
      <c r="C108" s="206"/>
      <c r="D108" s="206"/>
      <c r="F108" s="206"/>
      <c r="G108" s="206"/>
    </row>
    <row r="109" spans="1:7" s="109" customFormat="1" x14ac:dyDescent="0.2">
      <c r="A109" s="197"/>
      <c r="B109"/>
      <c r="C109" s="206"/>
      <c r="D109" s="206"/>
      <c r="F109" s="206"/>
      <c r="G109" s="206"/>
    </row>
    <row r="110" spans="1:7" s="109" customFormat="1" x14ac:dyDescent="0.2">
      <c r="A110" s="197"/>
      <c r="B110"/>
      <c r="C110" s="206"/>
      <c r="D110" s="206"/>
      <c r="F110" s="206"/>
      <c r="G110" s="206"/>
    </row>
    <row r="111" spans="1:7" s="109" customFormat="1" x14ac:dyDescent="0.2">
      <c r="A111" s="197"/>
      <c r="B111"/>
      <c r="C111" s="206"/>
      <c r="D111" s="206"/>
      <c r="F111" s="206"/>
      <c r="G111" s="206"/>
    </row>
    <row r="112" spans="1:7" s="109" customFormat="1" x14ac:dyDescent="0.2">
      <c r="A112" s="197"/>
      <c r="B112"/>
      <c r="C112" s="206"/>
      <c r="D112" s="206"/>
      <c r="F112" s="206"/>
      <c r="G112" s="206"/>
    </row>
    <row r="113" spans="1:7" s="109" customFormat="1" x14ac:dyDescent="0.2">
      <c r="A113" s="197"/>
      <c r="B113"/>
      <c r="C113" s="206"/>
      <c r="D113" s="206"/>
      <c r="F113" s="206"/>
      <c r="G113" s="206"/>
    </row>
    <row r="114" spans="1:7" s="109" customFormat="1" x14ac:dyDescent="0.2">
      <c r="A114" s="197"/>
      <c r="B114"/>
      <c r="C114" s="206"/>
      <c r="D114" s="206"/>
      <c r="F114" s="206"/>
      <c r="G114" s="206"/>
    </row>
    <row r="115" spans="1:7" s="109" customFormat="1" x14ac:dyDescent="0.2">
      <c r="A115" s="197"/>
      <c r="B115"/>
      <c r="C115" s="206"/>
      <c r="D115" s="206"/>
      <c r="F115" s="206"/>
      <c r="G115" s="206"/>
    </row>
    <row r="116" spans="1:7" s="109" customFormat="1" x14ac:dyDescent="0.2">
      <c r="A116" s="197"/>
      <c r="B116"/>
      <c r="C116" s="206"/>
      <c r="D116" s="206"/>
      <c r="F116" s="206"/>
      <c r="G116" s="206"/>
    </row>
    <row r="117" spans="1:7" s="109" customFormat="1" x14ac:dyDescent="0.2">
      <c r="A117" s="197"/>
      <c r="B117"/>
      <c r="C117" s="206"/>
      <c r="D117" s="206"/>
      <c r="F117" s="206"/>
      <c r="G117" s="206"/>
    </row>
    <row r="118" spans="1:7" s="109" customFormat="1" x14ac:dyDescent="0.2">
      <c r="A118" s="197"/>
      <c r="B118"/>
      <c r="C118" s="206"/>
      <c r="D118" s="206"/>
      <c r="F118" s="206"/>
      <c r="G118" s="206"/>
    </row>
    <row r="119" spans="1:7" s="109" customFormat="1" x14ac:dyDescent="0.2">
      <c r="A119" s="197"/>
      <c r="B119"/>
      <c r="C119" s="206"/>
      <c r="D119" s="206"/>
      <c r="F119" s="206"/>
      <c r="G119" s="206"/>
    </row>
    <row r="120" spans="1:7" s="109" customFormat="1" x14ac:dyDescent="0.2">
      <c r="A120" s="197"/>
      <c r="B120"/>
      <c r="C120" s="206"/>
      <c r="D120" s="206"/>
      <c r="F120" s="206"/>
      <c r="G120" s="206"/>
    </row>
    <row r="121" spans="1:7" s="109" customFormat="1" x14ac:dyDescent="0.2">
      <c r="A121" s="197"/>
      <c r="B121"/>
      <c r="C121" s="206"/>
      <c r="D121" s="206"/>
      <c r="F121" s="206"/>
      <c r="G121" s="206"/>
    </row>
    <row r="122" spans="1:7" s="109" customFormat="1" x14ac:dyDescent="0.2">
      <c r="A122" s="197"/>
      <c r="B122"/>
      <c r="C122" s="206"/>
      <c r="D122" s="206"/>
      <c r="F122" s="206"/>
      <c r="G122" s="206"/>
    </row>
    <row r="123" spans="1:7" s="109" customFormat="1" x14ac:dyDescent="0.2">
      <c r="A123" s="197"/>
      <c r="B123"/>
      <c r="C123" s="206"/>
      <c r="D123" s="206"/>
      <c r="F123" s="206"/>
      <c r="G123" s="206"/>
    </row>
    <row r="124" spans="1:7" s="109" customFormat="1" x14ac:dyDescent="0.2">
      <c r="A124" s="197"/>
      <c r="B124"/>
      <c r="C124" s="206"/>
      <c r="D124" s="206"/>
      <c r="F124" s="206"/>
      <c r="G124" s="206"/>
    </row>
    <row r="125" spans="1:7" s="109" customFormat="1" x14ac:dyDescent="0.2">
      <c r="A125" s="197"/>
      <c r="B125"/>
      <c r="C125" s="206"/>
      <c r="D125" s="206"/>
      <c r="F125" s="206"/>
      <c r="G125" s="206"/>
    </row>
    <row r="126" spans="1:7" s="109" customFormat="1" x14ac:dyDescent="0.2">
      <c r="A126" s="197"/>
      <c r="B126"/>
      <c r="C126" s="206"/>
      <c r="D126" s="206"/>
      <c r="F126" s="206"/>
      <c r="G126" s="206"/>
    </row>
    <row r="127" spans="1:7" s="109" customFormat="1" x14ac:dyDescent="0.2">
      <c r="A127" s="197"/>
      <c r="B127"/>
      <c r="C127" s="206"/>
      <c r="D127" s="206"/>
      <c r="F127" s="206"/>
      <c r="G127" s="206"/>
    </row>
    <row r="128" spans="1:7" s="109" customFormat="1" x14ac:dyDescent="0.2">
      <c r="A128" s="197"/>
      <c r="B128"/>
      <c r="C128" s="206"/>
      <c r="D128" s="206"/>
      <c r="F128" s="206"/>
      <c r="G128" s="206"/>
    </row>
    <row r="129" spans="1:7" s="109" customFormat="1" x14ac:dyDescent="0.2">
      <c r="A129" s="197"/>
      <c r="B129"/>
      <c r="C129" s="206"/>
      <c r="D129" s="206"/>
      <c r="F129" s="206"/>
      <c r="G129" s="206"/>
    </row>
    <row r="130" spans="1:7" s="109" customFormat="1" x14ac:dyDescent="0.2">
      <c r="A130" s="197"/>
      <c r="B130"/>
      <c r="C130" s="206"/>
      <c r="D130" s="206"/>
      <c r="F130" s="206"/>
      <c r="G130" s="206"/>
    </row>
    <row r="131" spans="1:7" s="109" customFormat="1" x14ac:dyDescent="0.2">
      <c r="A131" s="197"/>
      <c r="B131"/>
      <c r="C131" s="206"/>
      <c r="D131" s="206"/>
      <c r="F131" s="206"/>
      <c r="G131" s="206"/>
    </row>
    <row r="132" spans="1:7" s="109" customFormat="1" x14ac:dyDescent="0.2">
      <c r="A132" s="197"/>
      <c r="B132"/>
      <c r="C132" s="206"/>
      <c r="D132" s="206"/>
      <c r="F132" s="206"/>
      <c r="G132" s="206"/>
    </row>
    <row r="133" spans="1:7" s="109" customFormat="1" x14ac:dyDescent="0.2">
      <c r="A133" s="197"/>
      <c r="B133"/>
      <c r="C133" s="206"/>
      <c r="D133" s="206"/>
      <c r="F133" s="206"/>
      <c r="G133" s="206"/>
    </row>
    <row r="134" spans="1:7" s="109" customFormat="1" x14ac:dyDescent="0.2">
      <c r="A134" s="197"/>
      <c r="B134"/>
      <c r="C134" s="206"/>
      <c r="D134" s="206"/>
      <c r="F134" s="206"/>
      <c r="G134" s="206"/>
    </row>
    <row r="135" spans="1:7" s="109" customFormat="1" x14ac:dyDescent="0.2">
      <c r="A135" s="197"/>
      <c r="B135"/>
      <c r="C135" s="206"/>
      <c r="D135" s="206"/>
      <c r="F135" s="206"/>
      <c r="G135" s="206"/>
    </row>
    <row r="136" spans="1:7" s="109" customFormat="1" x14ac:dyDescent="0.2">
      <c r="A136" s="197"/>
      <c r="B136"/>
      <c r="C136" s="206"/>
      <c r="D136" s="206"/>
      <c r="F136" s="206"/>
      <c r="G136" s="206"/>
    </row>
    <row r="137" spans="1:7" s="109" customFormat="1" x14ac:dyDescent="0.2">
      <c r="A137" s="197"/>
      <c r="B137"/>
      <c r="C137" s="206"/>
      <c r="D137" s="206"/>
      <c r="F137" s="206"/>
      <c r="G137" s="206"/>
    </row>
    <row r="138" spans="1:7" s="109" customFormat="1" x14ac:dyDescent="0.2">
      <c r="A138" s="197"/>
      <c r="B138"/>
      <c r="C138" s="206"/>
      <c r="D138" s="206"/>
      <c r="F138" s="206"/>
      <c r="G138" s="206"/>
    </row>
    <row r="139" spans="1:7" s="109" customFormat="1" x14ac:dyDescent="0.2">
      <c r="A139" s="197"/>
      <c r="B139"/>
      <c r="C139" s="206"/>
      <c r="D139" s="206"/>
      <c r="F139" s="206"/>
      <c r="G139" s="206"/>
    </row>
    <row r="140" spans="1:7" s="109" customFormat="1" x14ac:dyDescent="0.2">
      <c r="A140" s="197"/>
      <c r="B140"/>
      <c r="C140" s="206"/>
      <c r="D140" s="206"/>
      <c r="F140" s="206"/>
      <c r="G140" s="206"/>
    </row>
    <row r="141" spans="1:7" s="109" customFormat="1" x14ac:dyDescent="0.2">
      <c r="A141" s="197"/>
      <c r="B141"/>
      <c r="C141" s="206"/>
      <c r="D141" s="206"/>
      <c r="F141" s="206"/>
      <c r="G141" s="206"/>
    </row>
    <row r="142" spans="1:7" s="109" customFormat="1" x14ac:dyDescent="0.2">
      <c r="A142" s="197"/>
      <c r="B142"/>
      <c r="C142" s="206"/>
      <c r="D142" s="206"/>
      <c r="F142" s="206"/>
      <c r="G142" s="206"/>
    </row>
    <row r="143" spans="1:7" s="109" customFormat="1" x14ac:dyDescent="0.2">
      <c r="A143" s="197"/>
      <c r="B143"/>
      <c r="C143" s="206"/>
      <c r="D143" s="206"/>
      <c r="F143" s="206"/>
      <c r="G143" s="206"/>
    </row>
    <row r="144" spans="1:7" s="109" customFormat="1" x14ac:dyDescent="0.2">
      <c r="A144" s="197"/>
      <c r="B144"/>
      <c r="C144" s="206"/>
      <c r="D144" s="206"/>
      <c r="F144" s="206"/>
      <c r="G144" s="206"/>
    </row>
    <row r="145" spans="1:7" s="109" customFormat="1" x14ac:dyDescent="0.2">
      <c r="A145" s="197"/>
      <c r="B145"/>
      <c r="C145" s="206"/>
      <c r="D145" s="206"/>
      <c r="F145" s="206"/>
      <c r="G145" s="206"/>
    </row>
    <row r="146" spans="1:7" s="109" customFormat="1" x14ac:dyDescent="0.2">
      <c r="A146" s="197"/>
      <c r="B146"/>
      <c r="C146" s="206"/>
      <c r="D146" s="206"/>
      <c r="F146" s="206"/>
      <c r="G146" s="206"/>
    </row>
    <row r="147" spans="1:7" s="109" customFormat="1" x14ac:dyDescent="0.2">
      <c r="A147" s="197"/>
      <c r="B147"/>
      <c r="C147" s="206"/>
      <c r="D147" s="206"/>
      <c r="F147" s="206"/>
      <c r="G147" s="206"/>
    </row>
    <row r="148" spans="1:7" s="109" customFormat="1" x14ac:dyDescent="0.2">
      <c r="A148" s="197"/>
      <c r="B148"/>
      <c r="C148" s="206"/>
      <c r="D148" s="206"/>
      <c r="F148" s="206"/>
      <c r="G148" s="206"/>
    </row>
    <row r="149" spans="1:7" s="109" customFormat="1" x14ac:dyDescent="0.2">
      <c r="A149" s="197"/>
      <c r="B149"/>
      <c r="C149" s="206"/>
      <c r="D149" s="206"/>
      <c r="F149" s="206"/>
      <c r="G149" s="206"/>
    </row>
    <row r="150" spans="1:7" s="109" customFormat="1" x14ac:dyDescent="0.2">
      <c r="A150" s="197"/>
      <c r="B150"/>
      <c r="C150" s="206"/>
      <c r="D150" s="206"/>
      <c r="F150" s="206"/>
      <c r="G150" s="206"/>
    </row>
    <row r="151" spans="1:7" s="109" customFormat="1" x14ac:dyDescent="0.2">
      <c r="A151" s="197"/>
      <c r="B151"/>
      <c r="C151" s="206"/>
      <c r="D151" s="206"/>
      <c r="F151" s="206"/>
      <c r="G151" s="206"/>
    </row>
    <row r="152" spans="1:7" s="109" customFormat="1" x14ac:dyDescent="0.2">
      <c r="A152" s="197"/>
      <c r="B152"/>
      <c r="C152" s="206"/>
      <c r="D152" s="206"/>
      <c r="F152" s="206"/>
      <c r="G152" s="206"/>
    </row>
    <row r="153" spans="1:7" s="109" customFormat="1" x14ac:dyDescent="0.2">
      <c r="A153" s="197"/>
      <c r="B153"/>
      <c r="C153" s="206"/>
      <c r="D153" s="206"/>
      <c r="F153" s="206"/>
      <c r="G153" s="206"/>
    </row>
    <row r="154" spans="1:7" s="109" customFormat="1" x14ac:dyDescent="0.2">
      <c r="A154" s="197"/>
      <c r="B154"/>
      <c r="C154" s="206"/>
      <c r="D154" s="206"/>
      <c r="F154" s="206"/>
      <c r="G154" s="206"/>
    </row>
    <row r="155" spans="1:7" s="109" customFormat="1" x14ac:dyDescent="0.2">
      <c r="A155" s="197"/>
      <c r="B155"/>
      <c r="C155" s="206"/>
      <c r="D155" s="206"/>
      <c r="F155" s="206"/>
      <c r="G155" s="206"/>
    </row>
    <row r="156" spans="1:7" s="109" customFormat="1" x14ac:dyDescent="0.2">
      <c r="A156" s="197"/>
      <c r="B156"/>
      <c r="C156" s="206"/>
      <c r="D156" s="206"/>
      <c r="F156" s="206"/>
      <c r="G156" s="206"/>
    </row>
    <row r="157" spans="1:7" s="109" customFormat="1" x14ac:dyDescent="0.2">
      <c r="A157" s="197"/>
      <c r="B157"/>
      <c r="C157" s="206"/>
      <c r="D157" s="206"/>
      <c r="F157" s="206"/>
      <c r="G157" s="206"/>
    </row>
    <row r="158" spans="1:7" s="109" customFormat="1" x14ac:dyDescent="0.2">
      <c r="A158" s="197"/>
      <c r="B158"/>
      <c r="C158" s="206"/>
      <c r="D158" s="206"/>
      <c r="F158" s="206"/>
      <c r="G158" s="206"/>
    </row>
    <row r="159" spans="1:7" s="109" customFormat="1" x14ac:dyDescent="0.2">
      <c r="A159" s="197"/>
      <c r="B159"/>
      <c r="C159" s="206"/>
      <c r="D159" s="206"/>
      <c r="F159" s="206"/>
      <c r="G159" s="206"/>
    </row>
    <row r="160" spans="1:7" s="109" customFormat="1" x14ac:dyDescent="0.2">
      <c r="A160" s="197"/>
      <c r="B160"/>
      <c r="C160" s="206"/>
      <c r="D160" s="206"/>
      <c r="F160" s="206"/>
      <c r="G160" s="206"/>
    </row>
    <row r="161" spans="1:7" s="109" customFormat="1" x14ac:dyDescent="0.2">
      <c r="A161" s="197"/>
      <c r="B161"/>
      <c r="C161" s="206"/>
      <c r="D161" s="206"/>
      <c r="F161" s="206"/>
      <c r="G161" s="206"/>
    </row>
    <row r="162" spans="1:7" s="109" customFormat="1" x14ac:dyDescent="0.2">
      <c r="A162" s="197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79</v>
      </c>
      <c r="B1" t="s">
        <v>85</v>
      </c>
      <c r="C1" t="s">
        <v>86</v>
      </c>
      <c r="D1" t="s">
        <v>134</v>
      </c>
      <c r="E1" t="s">
        <v>135</v>
      </c>
      <c r="F1" t="s">
        <v>87</v>
      </c>
      <c r="G1" t="s">
        <v>88</v>
      </c>
      <c r="H1" s="217" t="s">
        <v>89</v>
      </c>
      <c r="I1" t="s">
        <v>90</v>
      </c>
      <c r="J1" t="s">
        <v>91</v>
      </c>
      <c r="K1" t="s">
        <v>7</v>
      </c>
      <c r="L1" t="s">
        <v>92</v>
      </c>
      <c r="M1" t="s">
        <v>93</v>
      </c>
      <c r="N1" t="s">
        <v>94</v>
      </c>
      <c r="O1" t="s">
        <v>95</v>
      </c>
      <c r="P1" s="217" t="s">
        <v>96</v>
      </c>
      <c r="Q1" s="217" t="s">
        <v>97</v>
      </c>
      <c r="R1" s="217" t="s">
        <v>98</v>
      </c>
      <c r="S1" s="217" t="s">
        <v>99</v>
      </c>
      <c r="T1" t="s">
        <v>100</v>
      </c>
      <c r="U1" t="s">
        <v>101</v>
      </c>
      <c r="V1" s="216" t="s">
        <v>102</v>
      </c>
      <c r="W1" t="s">
        <v>103</v>
      </c>
      <c r="X1" t="s">
        <v>104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05" bestFit="1" customWidth="1"/>
    <col min="3" max="3" width="15.140625" style="305" customWidth="1"/>
    <col min="4" max="4" width="17.42578125" style="305" customWidth="1"/>
    <col min="5" max="5" width="16.140625" style="305" customWidth="1"/>
    <col min="6" max="6" width="14.5703125" style="305" customWidth="1"/>
    <col min="7" max="7" width="16.140625" style="305" customWidth="1"/>
    <col min="8" max="8" width="12.85546875" style="305" customWidth="1"/>
    <col min="9" max="9" width="14.140625" style="305" customWidth="1"/>
    <col min="10" max="12" width="12.5703125" style="305" customWidth="1"/>
    <col min="13" max="13" width="14.5703125" style="305" customWidth="1"/>
    <col min="14" max="14" width="15.5703125" style="305" customWidth="1"/>
    <col min="15" max="17" width="8.85546875" style="302"/>
    <col min="18" max="18" width="11" style="302" customWidth="1"/>
    <col min="19" max="16384" width="8.85546875" style="302"/>
  </cols>
  <sheetData>
    <row r="1" spans="1:14" x14ac:dyDescent="0.2">
      <c r="A1" s="303"/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</row>
    <row r="2" spans="1:14" x14ac:dyDescent="0.2">
      <c r="A2" s="304"/>
      <c r="B2" s="304"/>
      <c r="G2" s="304"/>
      <c r="H2" s="304"/>
      <c r="I2" s="304"/>
      <c r="J2" s="304"/>
      <c r="K2" s="304"/>
      <c r="L2" s="304"/>
      <c r="M2" s="304"/>
      <c r="N2" s="304"/>
    </row>
    <row r="3" spans="1:14" x14ac:dyDescent="0.2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</row>
    <row r="4" spans="1:14" x14ac:dyDescent="0.2">
      <c r="A4" s="304"/>
      <c r="B4" s="304"/>
      <c r="G4" s="304"/>
      <c r="H4" s="304"/>
      <c r="I4" s="304"/>
      <c r="J4" s="304"/>
      <c r="K4" s="304"/>
      <c r="L4" s="304"/>
      <c r="M4" s="304"/>
    </row>
    <row r="5" spans="1:14" x14ac:dyDescent="0.2">
      <c r="A5" s="304"/>
      <c r="B5" s="304"/>
      <c r="G5" s="304"/>
      <c r="H5" s="304"/>
      <c r="I5" s="304"/>
      <c r="J5" s="304"/>
      <c r="K5" s="304"/>
      <c r="L5" s="304"/>
      <c r="M5" s="304"/>
    </row>
    <row r="6" spans="1:14" x14ac:dyDescent="0.2">
      <c r="A6" s="304"/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</row>
    <row r="7" spans="1:14" x14ac:dyDescent="0.2">
      <c r="A7" s="304"/>
      <c r="B7" s="304"/>
      <c r="G7" s="304"/>
      <c r="H7" s="304"/>
      <c r="I7" s="304"/>
      <c r="J7" s="304"/>
      <c r="K7" s="304"/>
      <c r="L7" s="304"/>
      <c r="M7" s="304"/>
    </row>
    <row r="8" spans="1:14" x14ac:dyDescent="0.2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</row>
    <row r="9" spans="1:14" x14ac:dyDescent="0.2">
      <c r="A9" s="304"/>
      <c r="B9" s="304"/>
      <c r="G9" s="304"/>
      <c r="H9" s="304"/>
      <c r="I9" s="304"/>
      <c r="J9" s="304"/>
      <c r="K9" s="304"/>
      <c r="L9" s="304"/>
      <c r="M9" s="304"/>
    </row>
    <row r="10" spans="1:14" hidden="1" x14ac:dyDescent="0.2">
      <c r="A10" s="304"/>
      <c r="B10" s="304"/>
      <c r="C10" s="304"/>
      <c r="D10" s="304"/>
      <c r="E10" s="304"/>
      <c r="F10" s="304"/>
      <c r="G10" s="306"/>
      <c r="H10" s="306"/>
      <c r="I10" s="307"/>
      <c r="J10" s="307"/>
      <c r="K10" s="307"/>
      <c r="L10" s="307"/>
      <c r="M10" s="307"/>
      <c r="N10" s="307"/>
    </row>
    <row r="11" spans="1:14" hidden="1" x14ac:dyDescent="0.2">
      <c r="A11" s="307"/>
      <c r="B11" s="307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2" spans="1:14" ht="27.75" customHeight="1" x14ac:dyDescent="0.2">
      <c r="A12" s="307"/>
      <c r="B12" s="520" t="s">
        <v>16</v>
      </c>
      <c r="C12" s="514" t="s">
        <v>53</v>
      </c>
      <c r="D12" s="515"/>
      <c r="E12" s="515"/>
      <c r="F12" s="515"/>
      <c r="G12" s="515"/>
      <c r="H12" s="515"/>
      <c r="I12" s="515"/>
      <c r="J12" s="515"/>
      <c r="K12" s="515"/>
      <c r="L12" s="515"/>
      <c r="M12" s="515"/>
      <c r="N12" s="516"/>
    </row>
    <row r="13" spans="1:14" x14ac:dyDescent="0.2">
      <c r="A13" s="307"/>
      <c r="B13" s="521"/>
      <c r="C13" s="517" t="s">
        <v>50</v>
      </c>
      <c r="D13" s="518"/>
      <c r="E13" s="518"/>
      <c r="F13" s="518"/>
      <c r="G13" s="518"/>
      <c r="H13" s="519"/>
      <c r="I13" s="517" t="s">
        <v>49</v>
      </c>
      <c r="J13" s="518"/>
      <c r="K13" s="518"/>
      <c r="L13" s="518"/>
      <c r="M13" s="518"/>
      <c r="N13" s="519"/>
    </row>
    <row r="14" spans="1:14" ht="59.25" customHeight="1" x14ac:dyDescent="0.2">
      <c r="A14" s="308" t="s">
        <v>33</v>
      </c>
      <c r="B14" s="521"/>
      <c r="C14" s="308" t="s">
        <v>51</v>
      </c>
      <c r="D14" s="308" t="s">
        <v>42</v>
      </c>
      <c r="E14" s="308" t="s">
        <v>43</v>
      </c>
      <c r="F14" s="308" t="s">
        <v>52</v>
      </c>
      <c r="G14" s="308" t="s">
        <v>47</v>
      </c>
      <c r="H14" s="308" t="s">
        <v>48</v>
      </c>
      <c r="I14" s="308" t="s">
        <v>51</v>
      </c>
      <c r="J14" s="308" t="s">
        <v>42</v>
      </c>
      <c r="K14" s="308" t="s">
        <v>43</v>
      </c>
      <c r="L14" s="308" t="s">
        <v>52</v>
      </c>
      <c r="M14" s="308" t="s">
        <v>47</v>
      </c>
      <c r="N14" s="308" t="s">
        <v>48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5" customWidth="1"/>
    <col min="6" max="6" width="15" style="305" customWidth="1"/>
    <col min="7" max="7" width="15.85546875" style="305" bestFit="1" customWidth="1"/>
    <col min="8" max="8" width="15.85546875" style="305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8" customWidth="1"/>
    <col min="23" max="23" width="12" style="327" customWidth="1"/>
    <col min="24" max="24" width="10.140625" style="327" customWidth="1"/>
    <col min="25" max="25" width="11.140625" style="327" customWidth="1"/>
    <col min="26" max="26" width="11.85546875" style="327" customWidth="1"/>
    <col min="27" max="27" width="14.5703125" style="327" customWidth="1"/>
    <col min="28" max="28" width="13" style="328" customWidth="1"/>
    <col min="29" max="29" width="9.28515625" style="327" customWidth="1"/>
    <col min="30" max="30" width="13" style="328" customWidth="1"/>
    <col min="31" max="31" width="12.7109375" style="302" customWidth="1"/>
    <col min="32" max="32" width="11.7109375" style="302" customWidth="1"/>
    <col min="33" max="33" width="12.140625" style="302" customWidth="1"/>
    <col min="34" max="34" width="5.42578125" style="302" customWidth="1"/>
    <col min="35" max="36" width="11.7109375" style="302" customWidth="1"/>
    <col min="37" max="37" width="10" style="302" customWidth="1"/>
    <col min="38" max="39" width="8.85546875" style="302"/>
    <col min="41" max="16384" width="8.85546875" style="302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22" t="s">
        <v>312</v>
      </c>
      <c r="F13" s="523"/>
      <c r="G13" s="523"/>
      <c r="H13" s="334"/>
      <c r="I13" s="328"/>
      <c r="J13" s="328"/>
      <c r="K13" s="522" t="s">
        <v>311</v>
      </c>
      <c r="L13" s="523"/>
      <c r="M13" s="523"/>
      <c r="N13" s="334"/>
      <c r="O13" s="328"/>
      <c r="P13" s="328"/>
      <c r="Q13" s="522" t="s">
        <v>319</v>
      </c>
      <c r="R13" s="523"/>
      <c r="S13" s="523"/>
      <c r="T13" s="328"/>
      <c r="U13" s="328"/>
      <c r="V13" s="352">
        <f>IF(MAX(V15:V10000)&lt;0.01,0,MAX(V15:V10000))</f>
        <v>0</v>
      </c>
      <c r="W13" s="522" t="s">
        <v>310</v>
      </c>
      <c r="X13" s="523"/>
      <c r="Y13" s="523"/>
      <c r="AB13" s="352">
        <f>IF(MAX(AB15:AB10000)&lt;0.01,0,MAX(AB15:AB10000))</f>
        <v>0</v>
      </c>
      <c r="AC13" s="328"/>
      <c r="AE13" s="351">
        <f>AB13</f>
        <v>0</v>
      </c>
      <c r="AL13" s="109" t="s">
        <v>318</v>
      </c>
      <c r="AN13" s="302"/>
    </row>
    <row r="14" spans="1:40" ht="56.25" x14ac:dyDescent="0.2">
      <c r="A14" s="308" t="s">
        <v>33</v>
      </c>
      <c r="B14" s="335" t="s">
        <v>206</v>
      </c>
      <c r="C14" s="335" t="s">
        <v>207</v>
      </c>
      <c r="D14" s="335" t="s">
        <v>208</v>
      </c>
      <c r="E14" s="309" t="s">
        <v>44</v>
      </c>
      <c r="F14" s="310" t="s">
        <v>45</v>
      </c>
      <c r="G14" s="310" t="s">
        <v>46</v>
      </c>
      <c r="H14" s="333" t="s">
        <v>322</v>
      </c>
      <c r="I14" s="311" t="s">
        <v>324</v>
      </c>
      <c r="J14" s="311" t="s">
        <v>325</v>
      </c>
      <c r="K14" s="309" t="s">
        <v>44</v>
      </c>
      <c r="L14" s="310" t="s">
        <v>45</v>
      </c>
      <c r="M14" s="310" t="s">
        <v>46</v>
      </c>
      <c r="N14" s="333" t="s">
        <v>323</v>
      </c>
      <c r="O14" s="311" t="s">
        <v>309</v>
      </c>
      <c r="P14" s="311" t="s">
        <v>326</v>
      </c>
      <c r="Q14" s="329" t="s">
        <v>44</v>
      </c>
      <c r="R14" s="330" t="s">
        <v>45</v>
      </c>
      <c r="S14" s="330" t="s">
        <v>46</v>
      </c>
      <c r="T14" s="330" t="s">
        <v>320</v>
      </c>
      <c r="U14" s="331" t="s">
        <v>321</v>
      </c>
      <c r="V14" s="331" t="s">
        <v>317</v>
      </c>
      <c r="W14" s="329" t="s">
        <v>44</v>
      </c>
      <c r="X14" s="330" t="s">
        <v>45</v>
      </c>
      <c r="Y14" s="330" t="s">
        <v>46</v>
      </c>
      <c r="Z14" s="330" t="s">
        <v>313</v>
      </c>
      <c r="AA14" s="331" t="s">
        <v>314</v>
      </c>
      <c r="AB14" s="331" t="s">
        <v>317</v>
      </c>
      <c r="AC14" s="331" t="s">
        <v>316</v>
      </c>
      <c r="AD14" s="349" t="s">
        <v>1044</v>
      </c>
      <c r="AE14" s="350" t="s">
        <v>1043</v>
      </c>
      <c r="AF14" s="348" t="s">
        <v>331</v>
      </c>
      <c r="AG14" s="348" t="s">
        <v>330</v>
      </c>
      <c r="AH14" s="346" t="s">
        <v>1041</v>
      </c>
      <c r="AI14" s="346" t="s">
        <v>1040</v>
      </c>
      <c r="AJ14" s="346" t="s">
        <v>1042</v>
      </c>
      <c r="AK14" s="346" t="s">
        <v>1045</v>
      </c>
      <c r="AL14" s="346"/>
      <c r="AN14" s="302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5" customWidth="1"/>
    <col min="3" max="3" width="11" style="305" customWidth="1"/>
    <col min="4" max="4" width="13.85546875" style="317" customWidth="1"/>
    <col min="5" max="5" width="12.5703125" style="305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2"/>
    <col min="11" max="11" width="12.5703125" style="302" customWidth="1"/>
    <col min="12" max="16384" width="8.85546875" style="302"/>
  </cols>
  <sheetData>
    <row r="1" spans="1:9" hidden="1" x14ac:dyDescent="0.2">
      <c r="B1" s="304"/>
      <c r="C1" s="304"/>
      <c r="D1" s="312"/>
      <c r="E1" s="304"/>
    </row>
    <row r="2" spans="1:9" hidden="1" x14ac:dyDescent="0.2">
      <c r="B2" s="304"/>
      <c r="C2" s="304"/>
      <c r="D2" s="312"/>
      <c r="E2" s="304"/>
    </row>
    <row r="3" spans="1:9" hidden="1" x14ac:dyDescent="0.2">
      <c r="B3" s="304"/>
      <c r="C3" s="304"/>
      <c r="D3" s="312"/>
      <c r="E3" s="304"/>
    </row>
    <row r="4" spans="1:9" hidden="1" x14ac:dyDescent="0.2">
      <c r="B4" s="304"/>
      <c r="C4" s="304"/>
      <c r="D4" s="312"/>
      <c r="E4" s="304"/>
    </row>
    <row r="5" spans="1:9" hidden="1" x14ac:dyDescent="0.2">
      <c r="B5" s="304"/>
      <c r="C5" s="304"/>
      <c r="D5" s="312"/>
      <c r="E5" s="304"/>
    </row>
    <row r="6" spans="1:9" hidden="1" x14ac:dyDescent="0.2">
      <c r="B6" s="304"/>
      <c r="C6" s="304"/>
      <c r="D6" s="312"/>
      <c r="E6" s="304"/>
    </row>
    <row r="7" spans="1:9" hidden="1" x14ac:dyDescent="0.2">
      <c r="B7" s="304"/>
      <c r="C7" s="304"/>
      <c r="D7" s="312"/>
      <c r="E7" s="304"/>
    </row>
    <row r="8" spans="1:9" hidden="1" x14ac:dyDescent="0.2">
      <c r="B8" s="304"/>
      <c r="C8" s="304"/>
      <c r="D8" s="312"/>
      <c r="E8" s="304"/>
    </row>
    <row r="9" spans="1:9" hidden="1" x14ac:dyDescent="0.2">
      <c r="B9" s="304"/>
      <c r="C9" s="304"/>
      <c r="D9" s="312"/>
      <c r="E9" s="304"/>
    </row>
    <row r="10" spans="1:9" hidden="1" x14ac:dyDescent="0.2">
      <c r="B10" s="304"/>
      <c r="C10" s="304"/>
      <c r="D10" s="312"/>
      <c r="E10" s="304"/>
    </row>
    <row r="11" spans="1:9" hidden="1" x14ac:dyDescent="0.2">
      <c r="B11" s="307"/>
      <c r="C11" s="307"/>
      <c r="D11" s="313"/>
      <c r="E11" s="307"/>
    </row>
    <row r="12" spans="1:9" ht="12.75" customHeight="1" x14ac:dyDescent="0.2">
      <c r="B12" s="524" t="s">
        <v>34</v>
      </c>
      <c r="C12" s="525"/>
      <c r="D12" s="526" t="s">
        <v>35</v>
      </c>
      <c r="E12" s="527"/>
      <c r="F12" s="526" t="s">
        <v>110</v>
      </c>
      <c r="G12" s="527"/>
      <c r="H12" s="526" t="s">
        <v>111</v>
      </c>
      <c r="I12" s="527"/>
    </row>
    <row r="13" spans="1:9" ht="41.25" customHeight="1" x14ac:dyDescent="0.2">
      <c r="B13" s="524"/>
      <c r="C13" s="525"/>
      <c r="D13" s="528"/>
      <c r="E13" s="529"/>
      <c r="F13" s="528"/>
      <c r="G13" s="529"/>
      <c r="H13" s="528"/>
      <c r="I13" s="529"/>
    </row>
    <row r="14" spans="1:9" ht="56.25" x14ac:dyDescent="0.2">
      <c r="A14" s="308" t="s">
        <v>33</v>
      </c>
      <c r="B14" s="314" t="s">
        <v>37</v>
      </c>
      <c r="C14" s="314" t="s">
        <v>38</v>
      </c>
      <c r="D14" s="315" t="s">
        <v>37</v>
      </c>
      <c r="E14" s="316" t="s">
        <v>38</v>
      </c>
      <c r="F14" s="315" t="s">
        <v>37</v>
      </c>
      <c r="G14" s="316" t="s">
        <v>38</v>
      </c>
      <c r="H14" s="315" t="s">
        <v>37</v>
      </c>
      <c r="I14" s="316" t="s">
        <v>38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5" customWidth="1"/>
    <col min="4" max="4" width="12.85546875" style="305" customWidth="1"/>
    <col min="5" max="16384" width="8.85546875" style="302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08" t="s">
        <v>57</v>
      </c>
      <c r="B14" s="308" t="s">
        <v>55</v>
      </c>
      <c r="C14" s="308" t="s">
        <v>56</v>
      </c>
      <c r="D14" s="308" t="s">
        <v>76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7" t="s">
        <v>80</v>
      </c>
      <c r="B1" s="197"/>
      <c r="C1" s="197"/>
      <c r="D1" s="197"/>
      <c r="E1" s="197"/>
      <c r="F1" s="197"/>
    </row>
    <row r="2" spans="1:6" x14ac:dyDescent="0.2">
      <c r="A2" t="s">
        <v>402</v>
      </c>
    </row>
    <row r="3" spans="1:6" x14ac:dyDescent="0.2">
      <c r="A3" t="s">
        <v>336</v>
      </c>
    </row>
    <row r="4" spans="1:6" x14ac:dyDescent="0.2">
      <c r="A4" t="s">
        <v>338</v>
      </c>
    </row>
    <row r="5" spans="1:6" x14ac:dyDescent="0.2">
      <c r="A5" t="s">
        <v>340</v>
      </c>
    </row>
    <row r="6" spans="1:6" x14ac:dyDescent="0.2">
      <c r="A6" t="s">
        <v>342</v>
      </c>
    </row>
    <row r="7" spans="1:6" x14ac:dyDescent="0.2">
      <c r="A7" t="s">
        <v>345</v>
      </c>
    </row>
    <row r="8" spans="1:6" x14ac:dyDescent="0.2">
      <c r="A8" t="s">
        <v>347</v>
      </c>
    </row>
    <row r="9" spans="1:6" x14ac:dyDescent="0.2">
      <c r="A9" t="s">
        <v>350</v>
      </c>
    </row>
    <row r="10" spans="1:6" x14ac:dyDescent="0.2">
      <c r="A10" t="s">
        <v>352</v>
      </c>
    </row>
    <row r="11" spans="1:6" x14ac:dyDescent="0.2">
      <c r="A11" t="s">
        <v>354</v>
      </c>
    </row>
    <row r="12" spans="1:6" x14ac:dyDescent="0.2">
      <c r="A12" t="s">
        <v>356</v>
      </c>
    </row>
    <row r="13" spans="1:6" x14ac:dyDescent="0.2">
      <c r="A13" t="s">
        <v>358</v>
      </c>
    </row>
    <row r="14" spans="1:6" x14ac:dyDescent="0.2">
      <c r="A14" t="s">
        <v>360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B33" sqref="B33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296" t="s">
        <v>7</v>
      </c>
      <c r="B1" s="296" t="s">
        <v>29</v>
      </c>
      <c r="C1" s="298" t="s">
        <v>136</v>
      </c>
      <c r="D1" s="298" t="s">
        <v>125</v>
      </c>
      <c r="E1" s="298" t="s">
        <v>30</v>
      </c>
      <c r="F1" s="298" t="s">
        <v>145</v>
      </c>
      <c r="G1" s="298" t="s">
        <v>172</v>
      </c>
    </row>
    <row r="2" spans="1:10" x14ac:dyDescent="0.2">
      <c r="A2" s="297">
        <v>1</v>
      </c>
      <c r="B2" s="300">
        <v>100</v>
      </c>
      <c r="C2" s="299">
        <v>1</v>
      </c>
      <c r="D2" s="299">
        <v>1</v>
      </c>
      <c r="E2" s="299">
        <v>0</v>
      </c>
      <c r="F2" s="299">
        <v>0</v>
      </c>
      <c r="G2" s="299">
        <v>1</v>
      </c>
      <c r="J2" s="301" t="s">
        <v>173</v>
      </c>
    </row>
    <row r="3" spans="1:10" x14ac:dyDescent="0.2">
      <c r="A3" s="297">
        <v>2</v>
      </c>
      <c r="B3" s="300">
        <v>150</v>
      </c>
      <c r="C3" s="299">
        <v>1</v>
      </c>
      <c r="D3" s="299">
        <v>1</v>
      </c>
      <c r="E3" s="299">
        <v>0</v>
      </c>
      <c r="F3" s="299">
        <v>1</v>
      </c>
      <c r="G3" s="299"/>
    </row>
    <row r="4" spans="1:10" x14ac:dyDescent="0.2">
      <c r="A4" s="297">
        <v>3</v>
      </c>
      <c r="B4" s="300">
        <v>200</v>
      </c>
      <c r="C4" s="299">
        <v>1</v>
      </c>
      <c r="D4" s="299">
        <v>1</v>
      </c>
      <c r="E4" s="299">
        <v>0</v>
      </c>
      <c r="F4" s="299">
        <v>1</v>
      </c>
      <c r="G4" s="299"/>
      <c r="J4" s="105">
        <f>MATCH(250,DN_lista,0)</f>
        <v>4</v>
      </c>
    </row>
    <row r="5" spans="1:10" x14ac:dyDescent="0.2">
      <c r="A5" s="297">
        <v>4</v>
      </c>
      <c r="B5" s="300">
        <v>250</v>
      </c>
      <c r="C5" s="299">
        <v>1</v>
      </c>
      <c r="D5" s="299">
        <v>1</v>
      </c>
      <c r="E5" s="299">
        <v>1</v>
      </c>
      <c r="F5" s="299">
        <v>1</v>
      </c>
      <c r="G5" s="299">
        <v>1</v>
      </c>
    </row>
    <row r="6" spans="1:10" x14ac:dyDescent="0.2">
      <c r="A6" s="297">
        <v>5</v>
      </c>
      <c r="B6" s="300">
        <v>300</v>
      </c>
      <c r="C6" s="299">
        <v>1</v>
      </c>
      <c r="D6" s="299">
        <v>1</v>
      </c>
      <c r="E6" s="299">
        <v>0</v>
      </c>
      <c r="F6" s="299">
        <v>1</v>
      </c>
      <c r="G6" s="299"/>
    </row>
    <row r="7" spans="1:10" x14ac:dyDescent="0.2">
      <c r="A7" s="297">
        <v>6</v>
      </c>
      <c r="B7" s="300">
        <v>350</v>
      </c>
      <c r="C7" s="299">
        <v>1</v>
      </c>
      <c r="D7" s="299">
        <v>1</v>
      </c>
      <c r="E7" s="299">
        <v>0</v>
      </c>
      <c r="F7" s="299">
        <v>1</v>
      </c>
      <c r="G7" s="299"/>
    </row>
    <row r="8" spans="1:10" x14ac:dyDescent="0.2">
      <c r="A8" s="297">
        <v>7</v>
      </c>
      <c r="B8" s="300">
        <v>400</v>
      </c>
      <c r="C8" s="299">
        <v>1</v>
      </c>
      <c r="D8" s="299">
        <v>1</v>
      </c>
      <c r="E8" s="299">
        <v>1</v>
      </c>
      <c r="F8" s="299">
        <v>1</v>
      </c>
      <c r="G8" s="299"/>
    </row>
    <row r="9" spans="1:10" x14ac:dyDescent="0.2">
      <c r="A9" s="297">
        <v>8</v>
      </c>
      <c r="B9" s="300">
        <v>450</v>
      </c>
      <c r="C9" s="299">
        <v>0</v>
      </c>
      <c r="D9" s="299">
        <v>1</v>
      </c>
      <c r="E9" s="299">
        <v>1</v>
      </c>
      <c r="F9" s="299">
        <v>1</v>
      </c>
      <c r="G9" s="299"/>
    </row>
    <row r="10" spans="1:10" x14ac:dyDescent="0.2">
      <c r="A10" s="297">
        <v>9</v>
      </c>
      <c r="B10" s="300">
        <v>500</v>
      </c>
      <c r="C10" s="299">
        <v>0</v>
      </c>
      <c r="D10" s="299">
        <v>1</v>
      </c>
      <c r="E10" s="299">
        <v>1</v>
      </c>
      <c r="F10" s="299">
        <v>1</v>
      </c>
      <c r="G10" s="299">
        <v>1</v>
      </c>
    </row>
    <row r="11" spans="1:10" x14ac:dyDescent="0.2">
      <c r="A11" s="297">
        <v>10</v>
      </c>
      <c r="B11" s="300">
        <v>600</v>
      </c>
      <c r="C11" s="299">
        <v>0</v>
      </c>
      <c r="D11" s="299">
        <v>1</v>
      </c>
      <c r="E11" s="299">
        <v>1</v>
      </c>
      <c r="F11" s="299">
        <v>1</v>
      </c>
      <c r="G11" s="299"/>
    </row>
    <row r="12" spans="1:10" x14ac:dyDescent="0.2">
      <c r="A12" s="297">
        <v>11</v>
      </c>
      <c r="B12" s="300">
        <v>700</v>
      </c>
      <c r="C12" s="299">
        <v>0</v>
      </c>
      <c r="D12" s="299">
        <v>1</v>
      </c>
      <c r="E12" s="299">
        <v>1</v>
      </c>
      <c r="F12" s="299">
        <v>1</v>
      </c>
      <c r="G12" s="299"/>
    </row>
    <row r="13" spans="1:10" x14ac:dyDescent="0.2">
      <c r="A13" s="297">
        <v>12</v>
      </c>
      <c r="B13" s="300">
        <v>800</v>
      </c>
      <c r="C13" s="299">
        <v>0</v>
      </c>
      <c r="D13" s="299">
        <v>1</v>
      </c>
      <c r="E13" s="299">
        <v>1</v>
      </c>
      <c r="F13" s="299">
        <v>1</v>
      </c>
      <c r="G13" s="299"/>
    </row>
    <row r="14" spans="1:10" x14ac:dyDescent="0.2">
      <c r="A14" s="297">
        <v>13</v>
      </c>
      <c r="B14" s="300">
        <v>900</v>
      </c>
      <c r="C14" s="299">
        <v>0</v>
      </c>
      <c r="D14" s="299">
        <v>1</v>
      </c>
      <c r="E14" s="299">
        <v>1</v>
      </c>
      <c r="F14" s="299">
        <v>1</v>
      </c>
      <c r="G14" s="299"/>
    </row>
    <row r="15" spans="1:10" x14ac:dyDescent="0.2">
      <c r="A15" s="297">
        <v>14</v>
      </c>
      <c r="B15" s="300">
        <v>1000</v>
      </c>
      <c r="C15" s="299">
        <v>0</v>
      </c>
      <c r="D15" s="299">
        <v>1</v>
      </c>
      <c r="E15" s="299">
        <v>1</v>
      </c>
      <c r="F15" s="299">
        <v>1</v>
      </c>
      <c r="G15" s="299"/>
    </row>
    <row r="18" spans="2:7" x14ac:dyDescent="0.2">
      <c r="B18" s="156" t="s">
        <v>27</v>
      </c>
      <c r="C18" s="156" t="str">
        <f>IF(ISBLANK(C1),"",C1)</f>
        <v>PVC</v>
      </c>
      <c r="D18" s="156" t="str">
        <f>IF(ISBLANK(D1),"",D1)</f>
        <v>PEAD</v>
      </c>
      <c r="E18" s="156" t="str">
        <f>IF(ISBLANK(E1),"",E1)</f>
        <v>Concreto</v>
      </c>
      <c r="F18" s="156" t="str">
        <f>IF(ISBLANK(F1),"",F1)</f>
        <v>Hierro</v>
      </c>
      <c r="G18" s="156" t="str">
        <f>IF(ISBLANK(G1),"",G1)</f>
        <v>Otro</v>
      </c>
    </row>
    <row r="19" spans="2:7" ht="51" x14ac:dyDescent="0.2">
      <c r="B19" s="155" t="s">
        <v>31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126</v>
      </c>
      <c r="C22" s="100"/>
    </row>
    <row r="23" spans="2:7" ht="18" x14ac:dyDescent="0.25">
      <c r="B23" s="104" t="s">
        <v>115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139</v>
      </c>
      <c r="C26" s="143"/>
      <c r="D26" s="143"/>
    </row>
    <row r="27" spans="2:7" ht="51" x14ac:dyDescent="0.2">
      <c r="B27" s="65" t="s">
        <v>115</v>
      </c>
      <c r="C27" s="239" t="s">
        <v>123</v>
      </c>
      <c r="D27" s="65" t="s">
        <v>116</v>
      </c>
    </row>
    <row r="28" spans="2:7" x14ac:dyDescent="0.2">
      <c r="B28" s="343" t="s">
        <v>119</v>
      </c>
      <c r="C28" s="241">
        <v>1.3</v>
      </c>
      <c r="D28" s="242">
        <v>150</v>
      </c>
    </row>
    <row r="29" spans="2:7" x14ac:dyDescent="0.2">
      <c r="B29" s="343" t="s">
        <v>117</v>
      </c>
      <c r="C29" s="241">
        <v>2</v>
      </c>
      <c r="D29" s="242">
        <v>400</v>
      </c>
    </row>
    <row r="30" spans="2:7" x14ac:dyDescent="0.2">
      <c r="B30" s="343" t="s">
        <v>120</v>
      </c>
      <c r="C30" s="241">
        <v>3</v>
      </c>
      <c r="D30" s="242">
        <v>500</v>
      </c>
    </row>
    <row r="31" spans="2:7" x14ac:dyDescent="0.2">
      <c r="B31" s="343" t="s">
        <v>118</v>
      </c>
      <c r="C31" s="241">
        <v>4</v>
      </c>
      <c r="D31" s="242">
        <v>600</v>
      </c>
    </row>
    <row r="32" spans="2:7" x14ac:dyDescent="0.2">
      <c r="B32" s="343" t="s">
        <v>121</v>
      </c>
      <c r="C32" s="241">
        <v>6</v>
      </c>
      <c r="D32" s="242">
        <v>800</v>
      </c>
    </row>
    <row r="33" spans="2:4" x14ac:dyDescent="0.2">
      <c r="B33" s="343" t="s">
        <v>122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topLeftCell="A31"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132</v>
      </c>
      <c r="J1" s="272" t="s">
        <v>133</v>
      </c>
    </row>
    <row r="3" spans="2:15" ht="15" x14ac:dyDescent="0.2">
      <c r="B3" s="46" t="s">
        <v>1048</v>
      </c>
      <c r="C3" s="46"/>
      <c r="D3" s="46"/>
      <c r="E3" s="46"/>
      <c r="F3" s="45"/>
      <c r="G3" s="56"/>
      <c r="J3" s="46" t="s">
        <v>1048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2" t="s">
        <v>1049</v>
      </c>
      <c r="C5" s="56"/>
      <c r="D5" s="56"/>
      <c r="E5" s="56"/>
      <c r="F5" s="56"/>
      <c r="G5" s="56"/>
      <c r="J5" s="282" t="s">
        <v>1049</v>
      </c>
      <c r="K5" s="56"/>
      <c r="L5" s="56"/>
      <c r="M5" s="56"/>
      <c r="N5" s="56"/>
      <c r="O5" s="56"/>
    </row>
    <row r="6" spans="2:15" x14ac:dyDescent="0.2">
      <c r="B6" s="64" t="s">
        <v>1050</v>
      </c>
      <c r="C6" s="152"/>
      <c r="D6" s="153"/>
      <c r="E6" s="153"/>
      <c r="F6" s="266"/>
      <c r="G6" s="64" t="s">
        <v>64</v>
      </c>
      <c r="J6" s="64" t="s">
        <v>1050</v>
      </c>
      <c r="K6" s="152"/>
      <c r="L6" s="153"/>
      <c r="M6" s="153"/>
      <c r="N6" s="266"/>
      <c r="O6" s="64" t="s">
        <v>64</v>
      </c>
    </row>
    <row r="7" spans="2:15" x14ac:dyDescent="0.2">
      <c r="B7" s="64" t="s">
        <v>1051</v>
      </c>
      <c r="C7" s="152"/>
      <c r="D7" s="153"/>
      <c r="E7" s="153"/>
      <c r="F7" s="266"/>
      <c r="G7" s="64" t="s">
        <v>64</v>
      </c>
      <c r="J7" s="64" t="s">
        <v>1051</v>
      </c>
      <c r="K7" s="152"/>
      <c r="L7" s="153"/>
      <c r="M7" s="153"/>
      <c r="N7" s="266"/>
      <c r="O7" s="64" t="s">
        <v>64</v>
      </c>
    </row>
    <row r="8" spans="2:15" x14ac:dyDescent="0.2">
      <c r="B8" s="64" t="s">
        <v>1052</v>
      </c>
      <c r="C8" s="152"/>
      <c r="D8" s="153"/>
      <c r="E8" s="153"/>
      <c r="F8" s="49"/>
      <c r="G8" s="64" t="s">
        <v>131</v>
      </c>
      <c r="J8" s="64" t="s">
        <v>1052</v>
      </c>
      <c r="K8" s="152"/>
      <c r="L8" s="153"/>
      <c r="M8" s="153"/>
      <c r="N8" s="49">
        <v>3.5</v>
      </c>
      <c r="O8" s="64" t="s">
        <v>131</v>
      </c>
    </row>
    <row r="9" spans="2:15" x14ac:dyDescent="0.2">
      <c r="B9" s="56" t="s">
        <v>1053</v>
      </c>
      <c r="C9" s="56"/>
      <c r="D9" s="56"/>
      <c r="E9" s="56"/>
      <c r="F9" s="167">
        <f>IFERROR(INT(F6/F8),0)</f>
        <v>0</v>
      </c>
      <c r="G9" s="265" t="s">
        <v>130</v>
      </c>
      <c r="J9" s="56" t="s">
        <v>1053</v>
      </c>
      <c r="K9" s="56"/>
      <c r="L9" s="56"/>
      <c r="M9" s="56"/>
      <c r="N9" s="167">
        <f>IFERROR(INT(N6/N8),0)</f>
        <v>0</v>
      </c>
      <c r="O9" s="265" t="s">
        <v>130</v>
      </c>
    </row>
    <row r="10" spans="2:15" x14ac:dyDescent="0.2">
      <c r="B10" s="56" t="s">
        <v>1054</v>
      </c>
      <c r="C10" s="152"/>
      <c r="D10" s="153"/>
      <c r="E10" s="153"/>
      <c r="F10" s="167">
        <f>IFERROR(INT(F7/F8),0)</f>
        <v>0</v>
      </c>
      <c r="G10" s="265" t="s">
        <v>130</v>
      </c>
      <c r="J10" s="56" t="s">
        <v>1054</v>
      </c>
      <c r="K10" s="152"/>
      <c r="L10" s="153"/>
      <c r="M10" s="153"/>
      <c r="N10" s="167">
        <f>IFERROR(INT(N7/N8),0)</f>
        <v>0</v>
      </c>
      <c r="O10" s="265" t="s">
        <v>130</v>
      </c>
    </row>
    <row r="11" spans="2:15" x14ac:dyDescent="0.2">
      <c r="B11" s="56" t="s">
        <v>1055</v>
      </c>
      <c r="C11" s="56"/>
      <c r="D11" s="56"/>
      <c r="E11" s="56"/>
      <c r="F11" s="266"/>
      <c r="G11" s="265" t="s">
        <v>130</v>
      </c>
      <c r="J11" s="56" t="s">
        <v>1055</v>
      </c>
      <c r="K11" s="56"/>
      <c r="L11" s="56"/>
      <c r="M11" s="56"/>
      <c r="N11" s="266"/>
      <c r="O11" s="265" t="s">
        <v>130</v>
      </c>
    </row>
    <row r="12" spans="2:15" x14ac:dyDescent="0.2">
      <c r="B12" s="56" t="s">
        <v>1056</v>
      </c>
      <c r="C12" s="56"/>
      <c r="D12" s="56"/>
      <c r="E12" s="56"/>
      <c r="F12" s="266"/>
      <c r="G12" s="265" t="s">
        <v>130</v>
      </c>
      <c r="J12" s="56" t="s">
        <v>1056</v>
      </c>
      <c r="K12" s="56"/>
      <c r="L12" s="56"/>
      <c r="M12" s="56"/>
      <c r="N12" s="266"/>
      <c r="O12" s="265" t="s">
        <v>130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2" t="s">
        <v>1057</v>
      </c>
      <c r="C14" s="56"/>
      <c r="D14" s="56"/>
      <c r="E14" s="56"/>
      <c r="F14" s="56"/>
      <c r="G14" s="56"/>
      <c r="J14" s="282" t="s">
        <v>1057</v>
      </c>
      <c r="K14" s="56"/>
      <c r="L14" s="56"/>
      <c r="M14" s="56"/>
      <c r="N14" s="56"/>
      <c r="O14" s="56"/>
    </row>
    <row r="15" spans="2:15" x14ac:dyDescent="0.2">
      <c r="B15" s="68" t="s">
        <v>1058</v>
      </c>
      <c r="C15" s="152"/>
      <c r="D15" s="153"/>
      <c r="E15" s="153"/>
      <c r="F15" s="176">
        <f>RedBasica!$K$11</f>
        <v>0</v>
      </c>
      <c r="G15" s="56" t="s">
        <v>130</v>
      </c>
      <c r="J15" s="68" t="s">
        <v>1058</v>
      </c>
      <c r="K15" s="152"/>
      <c r="L15" s="153"/>
      <c r="M15" s="153"/>
      <c r="N15" s="176">
        <f>RedBasica!$K$11</f>
        <v>0</v>
      </c>
      <c r="O15" s="56" t="s">
        <v>130</v>
      </c>
    </row>
    <row r="16" spans="2:15" x14ac:dyDescent="0.2">
      <c r="B16" s="68" t="s">
        <v>1059</v>
      </c>
      <c r="C16" s="152"/>
      <c r="D16" s="153"/>
      <c r="E16" s="153"/>
      <c r="F16" s="176">
        <f>RedBasica!$L$11</f>
        <v>0</v>
      </c>
      <c r="G16" s="265" t="s">
        <v>130</v>
      </c>
      <c r="J16" s="68" t="s">
        <v>1059</v>
      </c>
      <c r="K16" s="152"/>
      <c r="L16" s="153"/>
      <c r="M16" s="153"/>
      <c r="N16" s="176">
        <f>RedBasica!$L$11</f>
        <v>0</v>
      </c>
      <c r="O16" s="265" t="s">
        <v>130</v>
      </c>
    </row>
    <row r="17" spans="2:15" x14ac:dyDescent="0.2">
      <c r="B17" s="64" t="s">
        <v>1060</v>
      </c>
      <c r="C17" s="153"/>
      <c r="D17" s="153"/>
      <c r="E17" s="164" t="s">
        <v>65</v>
      </c>
      <c r="F17" s="175">
        <f>L9</f>
        <v>0</v>
      </c>
      <c r="G17" s="152" t="s">
        <v>5</v>
      </c>
      <c r="J17" s="64" t="s">
        <v>1060</v>
      </c>
      <c r="K17" s="153"/>
      <c r="L17" s="153"/>
      <c r="M17" s="164" t="s">
        <v>65</v>
      </c>
      <c r="N17" s="175">
        <f>T9</f>
        <v>0</v>
      </c>
      <c r="O17" s="152" t="s">
        <v>5</v>
      </c>
    </row>
    <row r="18" spans="2:15" x14ac:dyDescent="0.2">
      <c r="B18" s="64" t="s">
        <v>1061</v>
      </c>
      <c r="C18" s="153"/>
      <c r="D18" s="153"/>
      <c r="E18" s="164" t="s">
        <v>66</v>
      </c>
      <c r="F18" s="176">
        <f>K9</f>
        <v>0</v>
      </c>
      <c r="G18" s="152" t="s">
        <v>61</v>
      </c>
      <c r="J18" s="64" t="s">
        <v>1061</v>
      </c>
      <c r="K18" s="153"/>
      <c r="L18" s="153"/>
      <c r="M18" s="164" t="s">
        <v>66</v>
      </c>
      <c r="N18" s="176">
        <f>S9</f>
        <v>0</v>
      </c>
      <c r="O18" s="152" t="s">
        <v>61</v>
      </c>
    </row>
    <row r="19" spans="2:15" x14ac:dyDescent="0.2">
      <c r="B19" s="282" t="s">
        <v>1062</v>
      </c>
      <c r="C19" s="56"/>
      <c r="D19" s="56"/>
      <c r="E19" s="56"/>
      <c r="F19" s="56"/>
      <c r="G19" s="56"/>
      <c r="J19" s="282" t="s">
        <v>1062</v>
      </c>
      <c r="K19" s="56"/>
      <c r="L19" s="56"/>
      <c r="M19" s="56"/>
      <c r="N19" s="56"/>
      <c r="O19" s="56"/>
    </row>
    <row r="20" spans="2:15" x14ac:dyDescent="0.2">
      <c r="B20" s="141" t="s">
        <v>1063</v>
      </c>
      <c r="C20" s="152"/>
      <c r="D20" s="153"/>
      <c r="E20" s="153"/>
      <c r="F20" s="118" t="s">
        <v>129</v>
      </c>
      <c r="G20" s="140" t="s">
        <v>32</v>
      </c>
      <c r="J20" s="141" t="s">
        <v>1063</v>
      </c>
      <c r="K20" s="152"/>
      <c r="L20" s="153"/>
      <c r="M20" s="153"/>
      <c r="N20" s="118" t="s">
        <v>129</v>
      </c>
      <c r="O20" s="140" t="s">
        <v>32</v>
      </c>
    </row>
    <row r="21" spans="2:15" x14ac:dyDescent="0.2">
      <c r="B21" s="141" t="s">
        <v>1064</v>
      </c>
      <c r="C21" s="152"/>
      <c r="D21" s="153"/>
      <c r="E21" s="153"/>
      <c r="F21" s="174">
        <f>IFERROR(IF(F20="Si",L25,0),0)</f>
        <v>0</v>
      </c>
      <c r="G21" s="152" t="s">
        <v>14</v>
      </c>
      <c r="J21" s="141" t="s">
        <v>1064</v>
      </c>
      <c r="K21" s="152"/>
      <c r="L21" s="153"/>
      <c r="M21" s="153"/>
      <c r="N21" s="174">
        <f>IFERROR(IF(N20="Si",T25,0),0)</f>
        <v>0</v>
      </c>
      <c r="O21" s="152" t="s">
        <v>14</v>
      </c>
    </row>
    <row r="22" spans="2:15" x14ac:dyDescent="0.2">
      <c r="B22" s="141" t="s">
        <v>1065</v>
      </c>
      <c r="C22" s="152"/>
      <c r="D22" s="153"/>
      <c r="E22" s="153"/>
      <c r="F22" s="174">
        <f>IFERROR(IF(F20="Si",L23,0),0)</f>
        <v>0</v>
      </c>
      <c r="G22" s="152" t="s">
        <v>14</v>
      </c>
      <c r="J22" s="141" t="s">
        <v>1065</v>
      </c>
      <c r="K22" s="152"/>
      <c r="L22" s="153"/>
      <c r="M22" s="153"/>
      <c r="N22" s="174">
        <f>IFERROR(IF(N20="Si",T23,0),0)</f>
        <v>0</v>
      </c>
      <c r="O22" s="152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2" t="s">
        <v>1066</v>
      </c>
      <c r="C24" s="56"/>
      <c r="D24" s="56"/>
      <c r="E24" s="56"/>
      <c r="F24" s="56"/>
      <c r="G24" s="56"/>
      <c r="J24" s="282" t="s">
        <v>1066</v>
      </c>
      <c r="K24" s="56"/>
      <c r="L24" s="56"/>
      <c r="M24" s="56"/>
      <c r="N24" s="56"/>
      <c r="O24" s="56"/>
    </row>
    <row r="25" spans="2:15" x14ac:dyDescent="0.2">
      <c r="B25" s="141" t="s">
        <v>1067</v>
      </c>
      <c r="C25" s="152"/>
      <c r="D25" s="153"/>
      <c r="E25" s="153"/>
      <c r="F25" s="268">
        <v>150</v>
      </c>
      <c r="G25" s="152" t="s">
        <v>13</v>
      </c>
      <c r="J25" s="141" t="s">
        <v>1067</v>
      </c>
      <c r="K25" s="152"/>
      <c r="L25" s="153"/>
      <c r="M25" s="153"/>
      <c r="N25" s="268">
        <v>150</v>
      </c>
      <c r="O25" s="152" t="s">
        <v>13</v>
      </c>
    </row>
    <row r="26" spans="2:15" x14ac:dyDescent="0.2">
      <c r="B26" s="64" t="s">
        <v>11</v>
      </c>
      <c r="C26" s="152"/>
      <c r="D26" s="153"/>
      <c r="E26" s="153"/>
      <c r="F26" s="49">
        <v>1.2</v>
      </c>
      <c r="G26" s="154"/>
      <c r="J26" s="64" t="s">
        <v>11</v>
      </c>
      <c r="K26" s="152"/>
      <c r="L26" s="153"/>
      <c r="M26" s="153"/>
      <c r="N26" s="49">
        <v>1.2</v>
      </c>
      <c r="O26" s="154"/>
    </row>
    <row r="27" spans="2:15" x14ac:dyDescent="0.2">
      <c r="B27" s="64" t="s">
        <v>12</v>
      </c>
      <c r="C27" s="152"/>
      <c r="D27" s="153"/>
      <c r="E27" s="153"/>
      <c r="F27" s="49">
        <v>1.5</v>
      </c>
      <c r="G27" s="154"/>
      <c r="J27" s="64" t="s">
        <v>12</v>
      </c>
      <c r="K27" s="152"/>
      <c r="L27" s="153"/>
      <c r="M27" s="153"/>
      <c r="N27" s="49">
        <v>1.5</v>
      </c>
      <c r="O27" s="154"/>
    </row>
    <row r="28" spans="2:15" x14ac:dyDescent="0.2">
      <c r="B28" s="152" t="s">
        <v>3</v>
      </c>
      <c r="C28" s="152"/>
      <c r="D28" s="153"/>
      <c r="E28" s="153"/>
      <c r="F28" s="49">
        <v>0.8</v>
      </c>
      <c r="G28" s="152"/>
      <c r="J28" s="152" t="s">
        <v>3</v>
      </c>
      <c r="K28" s="152"/>
      <c r="L28" s="153"/>
      <c r="M28" s="153"/>
      <c r="N28" s="49">
        <v>0.8</v>
      </c>
      <c r="O28" s="152"/>
    </row>
    <row r="29" spans="2:15" x14ac:dyDescent="0.2">
      <c r="B29" s="64" t="s">
        <v>1068</v>
      </c>
      <c r="C29" s="152"/>
      <c r="D29" s="153"/>
      <c r="E29" s="153"/>
      <c r="F29" s="267">
        <v>0.01</v>
      </c>
      <c r="G29" s="152" t="s">
        <v>14</v>
      </c>
      <c r="J29" s="64" t="s">
        <v>1068</v>
      </c>
      <c r="K29" s="152"/>
      <c r="L29" s="153"/>
      <c r="M29" s="153"/>
      <c r="N29" s="267">
        <v>0.01</v>
      </c>
      <c r="O29" s="152" t="s">
        <v>14</v>
      </c>
    </row>
    <row r="30" spans="2:15" x14ac:dyDescent="0.2">
      <c r="B30" s="141" t="s">
        <v>1073</v>
      </c>
      <c r="C30" s="141"/>
      <c r="D30" s="153"/>
      <c r="E30" s="153"/>
      <c r="F30" s="49">
        <v>1</v>
      </c>
      <c r="G30" s="152" t="s">
        <v>0</v>
      </c>
      <c r="J30" s="141" t="s">
        <v>1073</v>
      </c>
      <c r="K30" s="141"/>
      <c r="L30" s="153"/>
      <c r="M30" s="153"/>
      <c r="N30" s="49">
        <v>1</v>
      </c>
      <c r="O30" s="152" t="s">
        <v>0</v>
      </c>
    </row>
    <row r="31" spans="2:15" x14ac:dyDescent="0.2">
      <c r="B31" s="64" t="s">
        <v>1069</v>
      </c>
      <c r="C31" s="152"/>
      <c r="D31" s="153"/>
      <c r="E31" s="153"/>
      <c r="F31" s="49">
        <v>1.5</v>
      </c>
      <c r="G31" s="152" t="s">
        <v>5</v>
      </c>
      <c r="J31" s="64" t="s">
        <v>1069</v>
      </c>
      <c r="K31" s="152"/>
      <c r="L31" s="153"/>
      <c r="M31" s="153"/>
      <c r="N31" s="49">
        <v>1.5</v>
      </c>
      <c r="O31" s="152" t="s">
        <v>5</v>
      </c>
    </row>
    <row r="32" spans="2:15" x14ac:dyDescent="0.2">
      <c r="B32" s="64" t="s">
        <v>1072</v>
      </c>
      <c r="C32" s="152"/>
      <c r="D32" s="153"/>
      <c r="E32" s="153"/>
      <c r="F32" s="168">
        <v>0.5</v>
      </c>
      <c r="G32" s="152" t="s">
        <v>4</v>
      </c>
      <c r="J32" s="64" t="s">
        <v>1072</v>
      </c>
      <c r="K32" s="152"/>
      <c r="L32" s="153"/>
      <c r="M32" s="153"/>
      <c r="N32" s="168">
        <v>0.5</v>
      </c>
      <c r="O32" s="152" t="s">
        <v>4</v>
      </c>
    </row>
    <row r="33" spans="2:15" x14ac:dyDescent="0.2">
      <c r="B33" s="64" t="s">
        <v>1070</v>
      </c>
      <c r="C33" s="152"/>
      <c r="D33" s="153"/>
      <c r="E33" s="153"/>
      <c r="F33" s="177">
        <v>0.75</v>
      </c>
      <c r="G33" s="152" t="s">
        <v>4</v>
      </c>
      <c r="J33" s="64" t="s">
        <v>1070</v>
      </c>
      <c r="K33" s="152"/>
      <c r="L33" s="153"/>
      <c r="M33" s="153"/>
      <c r="N33" s="177">
        <v>0.75</v>
      </c>
      <c r="O33" s="152" t="s">
        <v>4</v>
      </c>
    </row>
    <row r="34" spans="2:15" x14ac:dyDescent="0.2">
      <c r="B34" s="51" t="s">
        <v>1071</v>
      </c>
      <c r="C34" s="154"/>
      <c r="D34" s="153"/>
      <c r="E34" s="153"/>
      <c r="F34" s="170"/>
      <c r="G34" s="154"/>
      <c r="J34" s="51" t="s">
        <v>1071</v>
      </c>
      <c r="K34" s="154"/>
      <c r="L34" s="153"/>
      <c r="M34" s="153"/>
      <c r="N34" s="170"/>
      <c r="O34" s="154"/>
    </row>
    <row r="35" spans="2:15" x14ac:dyDescent="0.2">
      <c r="B35" s="152" t="s">
        <v>1</v>
      </c>
      <c r="C35" s="152"/>
      <c r="D35" s="153"/>
      <c r="E35" s="153"/>
      <c r="F35" s="171">
        <v>150</v>
      </c>
      <c r="G35" s="152" t="s">
        <v>2</v>
      </c>
      <c r="J35" s="152" t="s">
        <v>1</v>
      </c>
      <c r="K35" s="152"/>
      <c r="L35" s="153"/>
      <c r="M35" s="153"/>
      <c r="N35" s="171">
        <v>150</v>
      </c>
      <c r="O35" s="152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1074</v>
      </c>
      <c r="C37" s="51"/>
      <c r="D37" s="153"/>
      <c r="E37" s="153"/>
      <c r="F37" s="169" t="s">
        <v>62</v>
      </c>
      <c r="G37" s="154"/>
      <c r="J37" s="51" t="s">
        <v>1074</v>
      </c>
      <c r="K37" s="51"/>
      <c r="L37" s="153"/>
      <c r="M37" s="153"/>
      <c r="N37" s="169" t="s">
        <v>62</v>
      </c>
      <c r="O37" s="154"/>
    </row>
    <row r="38" spans="2:15" x14ac:dyDescent="0.2">
      <c r="B38" s="141" t="s">
        <v>1075</v>
      </c>
      <c r="C38" s="160">
        <v>150</v>
      </c>
      <c r="D38" s="153"/>
      <c r="E38" s="153"/>
      <c r="F38" s="269">
        <v>4.4999999999999997E-3</v>
      </c>
      <c r="G38" s="152" t="s">
        <v>23</v>
      </c>
      <c r="J38" s="141" t="s">
        <v>1075</v>
      </c>
      <c r="K38" s="160">
        <v>150</v>
      </c>
      <c r="L38" s="153"/>
      <c r="M38" s="153"/>
      <c r="N38" s="269">
        <v>4.4999999999999997E-3</v>
      </c>
      <c r="O38" s="152" t="s">
        <v>23</v>
      </c>
    </row>
    <row r="39" spans="2:15" x14ac:dyDescent="0.2">
      <c r="B39" s="141" t="s">
        <v>1075</v>
      </c>
      <c r="C39" s="160">
        <v>200</v>
      </c>
      <c r="D39" s="153"/>
      <c r="E39" s="153"/>
      <c r="F39" s="269">
        <v>4.0000000000000001E-3</v>
      </c>
      <c r="G39" s="152" t="s">
        <v>23</v>
      </c>
      <c r="J39" s="141" t="s">
        <v>1075</v>
      </c>
      <c r="K39" s="160">
        <v>200</v>
      </c>
      <c r="L39" s="153"/>
      <c r="M39" s="153"/>
      <c r="N39" s="269">
        <v>4.0000000000000001E-3</v>
      </c>
      <c r="O39" s="152" t="s">
        <v>23</v>
      </c>
    </row>
    <row r="40" spans="2:15" x14ac:dyDescent="0.2">
      <c r="B40" s="152" t="s">
        <v>60</v>
      </c>
      <c r="C40" s="160">
        <v>250</v>
      </c>
      <c r="D40" s="153"/>
      <c r="E40" s="153"/>
      <c r="F40" s="269">
        <v>3.5000000000000001E-3</v>
      </c>
      <c r="G40" s="152" t="s">
        <v>23</v>
      </c>
      <c r="J40" s="152" t="s">
        <v>60</v>
      </c>
      <c r="K40" s="160">
        <v>250</v>
      </c>
      <c r="L40" s="153"/>
      <c r="M40" s="153"/>
      <c r="N40" s="269">
        <v>3.5000000000000001E-3</v>
      </c>
      <c r="O40" s="152" t="s">
        <v>23</v>
      </c>
    </row>
    <row r="41" spans="2:15" x14ac:dyDescent="0.2">
      <c r="B41" s="51" t="s">
        <v>24</v>
      </c>
      <c r="C41" s="51"/>
      <c r="D41" s="153"/>
      <c r="E41" s="153"/>
      <c r="F41" s="170"/>
      <c r="G41" s="154"/>
      <c r="J41" s="51" t="s">
        <v>24</v>
      </c>
      <c r="K41" s="51"/>
      <c r="L41" s="153"/>
      <c r="M41" s="153"/>
      <c r="N41" s="170"/>
      <c r="O41" s="154"/>
    </row>
    <row r="42" spans="2:15" x14ac:dyDescent="0.2">
      <c r="B42" s="64" t="s">
        <v>1076</v>
      </c>
      <c r="C42" s="152"/>
      <c r="D42" s="153"/>
      <c r="E42" s="153"/>
      <c r="F42" s="172">
        <v>0.9</v>
      </c>
      <c r="G42" s="152" t="s">
        <v>6</v>
      </c>
      <c r="J42" s="64" t="s">
        <v>1076</v>
      </c>
      <c r="K42" s="152"/>
      <c r="L42" s="153"/>
      <c r="M42" s="153"/>
      <c r="N42" s="172">
        <v>0.9</v>
      </c>
      <c r="O42" s="152" t="s">
        <v>6</v>
      </c>
    </row>
    <row r="43" spans="2:15" x14ac:dyDescent="0.2">
      <c r="B43" s="64" t="s">
        <v>1077</v>
      </c>
      <c r="C43" s="152"/>
      <c r="D43" s="153"/>
      <c r="E43" s="153"/>
      <c r="F43" s="49">
        <v>0.65</v>
      </c>
      <c r="G43" s="152" t="s">
        <v>6</v>
      </c>
      <c r="J43" s="64" t="s">
        <v>1077</v>
      </c>
      <c r="K43" s="152"/>
      <c r="L43" s="153"/>
      <c r="M43" s="153"/>
      <c r="N43" s="49">
        <v>0.65</v>
      </c>
      <c r="O43" s="152" t="s">
        <v>6</v>
      </c>
    </row>
    <row r="44" spans="2:15" x14ac:dyDescent="0.2">
      <c r="B44" s="51" t="s">
        <v>1078</v>
      </c>
      <c r="C44" s="153"/>
      <c r="D44" s="153"/>
      <c r="E44" s="153"/>
      <c r="F44" s="173"/>
      <c r="G44" s="153"/>
      <c r="J44" s="51" t="s">
        <v>1078</v>
      </c>
      <c r="K44" s="153"/>
      <c r="L44" s="153"/>
      <c r="M44" s="153"/>
      <c r="N44" s="173"/>
      <c r="O44" s="153"/>
    </row>
    <row r="45" spans="2:15" x14ac:dyDescent="0.2">
      <c r="B45" s="64" t="s">
        <v>1079</v>
      </c>
      <c r="C45" s="153"/>
      <c r="D45" s="153"/>
      <c r="E45" s="153"/>
      <c r="F45" s="270" t="s">
        <v>127</v>
      </c>
      <c r="G45" s="153"/>
      <c r="J45" s="64" t="s">
        <v>1079</v>
      </c>
      <c r="K45" s="153"/>
      <c r="L45" s="153"/>
      <c r="M45" s="153"/>
      <c r="N45" s="270" t="s">
        <v>127</v>
      </c>
      <c r="O45" s="153"/>
    </row>
    <row r="46" spans="2:15" x14ac:dyDescent="0.2">
      <c r="B46" s="282" t="s">
        <v>1080</v>
      </c>
      <c r="C46" s="153"/>
      <c r="D46" s="153"/>
      <c r="E46" s="153"/>
      <c r="F46" s="173"/>
      <c r="G46" s="153"/>
      <c r="J46" s="282" t="s">
        <v>1080</v>
      </c>
      <c r="K46" s="153"/>
      <c r="L46" s="153"/>
      <c r="M46" s="153"/>
      <c r="N46" s="173"/>
      <c r="O46" s="153"/>
    </row>
    <row r="47" spans="2:15" x14ac:dyDescent="0.2">
      <c r="B47" s="141" t="s">
        <v>1082</v>
      </c>
      <c r="C47" s="153"/>
      <c r="D47" s="153"/>
      <c r="E47" s="153"/>
      <c r="F47" s="49">
        <v>0.5</v>
      </c>
      <c r="G47" s="153" t="s">
        <v>6</v>
      </c>
      <c r="J47" s="141" t="s">
        <v>1082</v>
      </c>
      <c r="K47" s="153"/>
      <c r="L47" s="153"/>
      <c r="M47" s="153"/>
      <c r="N47" s="49">
        <v>0.5</v>
      </c>
      <c r="O47" s="153" t="s">
        <v>6</v>
      </c>
    </row>
    <row r="48" spans="2:15" x14ac:dyDescent="0.2">
      <c r="B48" s="282" t="s">
        <v>1081</v>
      </c>
      <c r="C48" s="56"/>
      <c r="D48" s="56"/>
      <c r="E48" s="56"/>
      <c r="F48" s="56"/>
      <c r="G48" s="56"/>
      <c r="J48" s="282" t="s">
        <v>1081</v>
      </c>
      <c r="K48" s="56"/>
      <c r="L48" s="56"/>
      <c r="M48" s="56"/>
      <c r="N48" s="56"/>
      <c r="O48" s="56"/>
    </row>
    <row r="49" spans="2:15" x14ac:dyDescent="0.2">
      <c r="B49" s="56" t="s">
        <v>327</v>
      </c>
      <c r="C49" s="56"/>
      <c r="D49" s="56"/>
      <c r="E49" s="56"/>
      <c r="F49" s="49">
        <v>0</v>
      </c>
      <c r="G49" s="56" t="s">
        <v>6</v>
      </c>
      <c r="J49" s="56" t="s">
        <v>327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54" t="s">
        <v>1084</v>
      </c>
      <c r="C53" s="355"/>
      <c r="D53" s="355"/>
      <c r="E53" s="356"/>
    </row>
    <row r="54" spans="2:15" ht="14.25" customHeight="1" x14ac:dyDescent="0.2">
      <c r="B54" s="363"/>
      <c r="C54" s="364"/>
      <c r="D54" s="364"/>
      <c r="E54" s="365"/>
    </row>
    <row r="55" spans="2:15" ht="14.25" x14ac:dyDescent="0.2">
      <c r="B55" s="357" t="s">
        <v>1087</v>
      </c>
      <c r="C55" s="358"/>
      <c r="D55" s="359"/>
      <c r="E55" s="359"/>
    </row>
    <row r="56" spans="2:15" ht="14.25" customHeight="1" x14ac:dyDescent="0.2">
      <c r="B56" s="363"/>
      <c r="C56" s="364"/>
      <c r="D56" s="364"/>
      <c r="E56" s="365"/>
    </row>
    <row r="57" spans="2:15" ht="14.25" x14ac:dyDescent="0.2">
      <c r="B57" s="354" t="s">
        <v>1086</v>
      </c>
      <c r="C57" s="355"/>
      <c r="D57" s="355"/>
      <c r="E57" s="356"/>
    </row>
    <row r="58" spans="2:15" ht="14.25" customHeight="1" x14ac:dyDescent="0.2">
      <c r="B58" s="363"/>
      <c r="C58" s="364"/>
      <c r="D58" s="364"/>
      <c r="E58" s="365"/>
    </row>
    <row r="59" spans="2:15" ht="14.25" x14ac:dyDescent="0.2">
      <c r="B59" s="360" t="s">
        <v>1083</v>
      </c>
      <c r="C59" s="359"/>
      <c r="D59" s="359"/>
      <c r="E59" s="361"/>
    </row>
    <row r="60" spans="2:15" ht="15" customHeight="1" x14ac:dyDescent="0.2">
      <c r="B60" s="363"/>
      <c r="C60" s="364"/>
      <c r="D60" s="365"/>
      <c r="E60" s="362"/>
    </row>
    <row r="61" spans="2:15" ht="14.25" x14ac:dyDescent="0.2">
      <c r="B61" s="360" t="s">
        <v>1085</v>
      </c>
      <c r="C61" s="359"/>
      <c r="D61" s="359"/>
      <c r="E61" s="48"/>
    </row>
    <row r="62" spans="2:15" ht="14.25" x14ac:dyDescent="0.2">
      <c r="B62" s="366"/>
      <c r="C62" s="364"/>
      <c r="D62" s="365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502" operator="equal">
      <formula>"Sim"</formula>
    </cfRule>
    <cfRule type="cellIs" dxfId="76" priority="503" operator="equal">
      <formula>"Não"</formula>
    </cfRule>
    <cfRule type="containsBlanks" dxfId="75" priority="504">
      <formula>LEN(TRIM(N20))=0</formula>
    </cfRule>
  </conditionalFormatting>
  <conditionalFormatting sqref="N6:N7">
    <cfRule type="cellIs" dxfId="74" priority="505" operator="equal">
      <formula>0</formula>
    </cfRule>
  </conditionalFormatting>
  <conditionalFormatting sqref="N11:N12">
    <cfRule type="cellIs" dxfId="73" priority="501" operator="equal">
      <formula>0</formula>
    </cfRule>
  </conditionalFormatting>
  <conditionalFormatting sqref="F20">
    <cfRule type="cellIs" dxfId="72" priority="2" operator="equal">
      <formula>"Sim"</formula>
    </cfRule>
    <cfRule type="cellIs" dxfId="71" priority="3" operator="equal">
      <formula>"Não"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N16" workbookViewId="0">
      <selection activeCell="AD23" sqref="AD23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1">
        <f>Parametros!$B$6</f>
        <v>0</v>
      </c>
      <c r="L2" s="381"/>
      <c r="M2" s="381"/>
      <c r="N2" s="381"/>
      <c r="O2" s="381"/>
    </row>
    <row r="3" spans="1:1491" ht="18" x14ac:dyDescent="0.2">
      <c r="K3" s="381">
        <f>Parametros!$B$8</f>
        <v>0</v>
      </c>
      <c r="L3" s="381"/>
      <c r="M3" s="381"/>
      <c r="N3" s="381"/>
      <c r="O3" s="381"/>
    </row>
    <row r="4" spans="1:1491" ht="18" x14ac:dyDescent="0.2">
      <c r="K4" s="381">
        <f>Parametros!$B$10</f>
        <v>0</v>
      </c>
      <c r="L4" s="381"/>
      <c r="M4" s="381"/>
      <c r="N4" s="381"/>
      <c r="O4" s="381"/>
    </row>
    <row r="5" spans="1:1491" ht="18" x14ac:dyDescent="0.2">
      <c r="K5" s="381">
        <f>Parametros!$B$12</f>
        <v>0</v>
      </c>
      <c r="L5" s="381"/>
      <c r="M5" s="381"/>
      <c r="N5" s="381"/>
      <c r="O5" s="381"/>
    </row>
    <row r="6" spans="1:1491" ht="18" x14ac:dyDescent="0.2">
      <c r="K6" s="382">
        <f>Parametros!$B$14</f>
        <v>0</v>
      </c>
      <c r="L6" s="381"/>
      <c r="M6" s="381"/>
      <c r="N6" s="381"/>
      <c r="O6" s="381"/>
    </row>
    <row r="7" spans="1:1491" ht="18" x14ac:dyDescent="0.2">
      <c r="C7" s="495">
        <f>Parametros!$B$6</f>
        <v>0</v>
      </c>
      <c r="D7" s="495"/>
      <c r="E7" s="495"/>
      <c r="F7" s="495"/>
      <c r="G7" s="496"/>
    </row>
    <row r="8" spans="1:1491" ht="18" x14ac:dyDescent="0.2">
      <c r="C8" s="495">
        <f>Parametros!$B$8</f>
        <v>0</v>
      </c>
      <c r="D8" s="495"/>
      <c r="E8" s="495"/>
      <c r="F8" s="495"/>
      <c r="G8" s="496"/>
    </row>
    <row r="9" spans="1:1491" ht="18" x14ac:dyDescent="0.2">
      <c r="C9" s="495">
        <f>Parametros!$B$10</f>
        <v>0</v>
      </c>
      <c r="D9" s="495"/>
      <c r="E9" s="495"/>
      <c r="F9" s="495"/>
      <c r="G9" s="496"/>
    </row>
    <row r="10" spans="1:1491" ht="18" x14ac:dyDescent="0.2">
      <c r="C10" s="323">
        <f>Parametros!$B$12</f>
        <v>0</v>
      </c>
      <c r="D10" s="323"/>
      <c r="E10" s="323"/>
      <c r="F10" s="323"/>
      <c r="G10" s="324"/>
    </row>
    <row r="11" spans="1:1491" ht="18" x14ac:dyDescent="0.2">
      <c r="C11" s="494">
        <f>Parametros!$B$14</f>
        <v>0</v>
      </c>
      <c r="D11" s="495"/>
      <c r="E11" s="495"/>
      <c r="F11" s="495"/>
      <c r="G11" s="496"/>
    </row>
    <row r="15" spans="1:1491" s="99" customFormat="1" ht="15" customHeight="1" x14ac:dyDescent="0.2">
      <c r="A15" s="97">
        <v>1</v>
      </c>
      <c r="B15" s="228">
        <v>1</v>
      </c>
      <c r="C15" s="228">
        <v>0</v>
      </c>
      <c r="D15" s="229">
        <v>1</v>
      </c>
      <c r="E15" s="230" t="s">
        <v>112</v>
      </c>
      <c r="F15" s="231">
        <v>31.29</v>
      </c>
      <c r="G15" s="228"/>
      <c r="H15" s="228"/>
      <c r="I15" s="228"/>
      <c r="J15" s="228" t="s">
        <v>174</v>
      </c>
      <c r="K15" s="228">
        <v>9</v>
      </c>
      <c r="L15" s="228">
        <v>7</v>
      </c>
      <c r="M15" s="287">
        <f>Parametros!$F$44*F15/1000</f>
        <v>3.1290000000000002E-4</v>
      </c>
      <c r="N15" s="288">
        <f>SUM('A1'!F15,'A1'!G15,'A1'!H15)+M15</f>
        <v>3.1290000000000002E-4</v>
      </c>
      <c r="O15" s="288">
        <f>SUM('A1'!L15,'A1'!M15,'A1'!N15)+M15</f>
        <v>3.1290000000000002E-4</v>
      </c>
      <c r="P15" s="198"/>
      <c r="Q15" s="198"/>
      <c r="R15" s="72"/>
      <c r="S15" s="288">
        <f>'A2'!AE15</f>
        <v>0</v>
      </c>
      <c r="T15" s="74">
        <f t="shared" ref="T15" si="0">V15-AJ15/1000</f>
        <v>0.9</v>
      </c>
      <c r="U15" s="74">
        <f t="shared" ref="U15" si="1">W15-AJ15/1000</f>
        <v>0.9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72"/>
      <c r="Y15" s="75">
        <v>139.46</v>
      </c>
      <c r="Z15" s="75">
        <v>139.09</v>
      </c>
      <c r="AA15" s="75">
        <f>IF(OR(F15=0,ISBLANK(D15)),"-",Y15-V15)</f>
        <v>138.41</v>
      </c>
      <c r="AB15" s="75">
        <f>IF(OR(F15=0,ISBLANK(D15)),"-",Z15-W15)</f>
        <v>138.04</v>
      </c>
      <c r="AC15" s="75">
        <f>IF(OR(F15=0,ISBLANK(D15)),"-",Y15-T15)</f>
        <v>138.56</v>
      </c>
      <c r="AD15" s="75">
        <f>IF(OR(F15=0,ISBLANK(D15)),"-",Z15-U15)</f>
        <v>138.19</v>
      </c>
      <c r="AE15" s="76">
        <f>IF(F15=0,0,IF(ISBLANK(D15),0,(Y15-Z15)/F15))</f>
        <v>1.1824864173857608E-2</v>
      </c>
      <c r="AF15" s="157">
        <f>IF(F15=0,0,IF(AJ15&lt;=Parametros!$C$53,Parametros!$F$53,IF(AJ15&lt;=Parametros!$C$54,Parametros!$F$54,IF(AJ15&gt;=Parametros!$C$55,Parametros!$F$55))))</f>
        <v>4.4999999999999997E-3</v>
      </c>
      <c r="AG15" s="77">
        <f>IF(F15=0,0,IF(AJ15&lt;=Parametros!$C$53,Parametros!$F$53,IF(AJ15&lt;=Parametros!$C$54,Parametros!$F$54,IF(AJ15&gt;=Parametros!$C$55,Parametros!$F$55))))</f>
        <v>4.4999999999999997E-3</v>
      </c>
      <c r="AH15" s="78">
        <f>IF(F15=0,0,IF(ISBLANK(D15),0,(AC15-AD15)/F15))</f>
        <v>1.1824864173857608E-2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150</v>
      </c>
      <c r="AK15" s="159">
        <f>IF(OR(F15=0,D15=0),0,VLOOKUP(AJ15,Parametros!$B$69:$E$82,4,FALSE))</f>
        <v>1.2999999999999999E-2</v>
      </c>
      <c r="AL15" s="80">
        <f>IF(OR(ISBLANK($D15),N15=0),0,IF(N15&lt;Parametros!$F$46,Parametros!$F$46,N15))</f>
        <v>1.5</v>
      </c>
      <c r="AM15" s="80">
        <f>IF(F15=0,0,IF(ISBLANK(D15),0,LAMINAABS(AL15,AJ15,AH15,AK15)))</f>
        <v>3.0504163207447321E-2</v>
      </c>
      <c r="AN15" s="178">
        <f>IF(F15=0,0,IF(ISBLANK(D15),0,LAMINAREL(AL15,AJ15,AH15,AK15)))</f>
        <v>0.20336108804964881</v>
      </c>
      <c r="AO15" s="179">
        <f>IF(OR(AND(AN15&gt;Parametros!$F$47,AJ15=100),AN15&gt;Parametros!$F$48),1,0)</f>
        <v>0</v>
      </c>
      <c r="AP15" s="80">
        <f>IF(F15=0,0,IF(ISBLANK(D15),0,TENSTRAT(AL15,AJ15,AH15,AK15)))</f>
        <v>2.1296999804082946</v>
      </c>
      <c r="AQ15" s="80">
        <f>IF(F15=0,0,IF(ISBLANK(D15),0,VELOCRIT(AL15,AJ15,AH15,AK15)))</f>
        <v>2.5450183471301111</v>
      </c>
      <c r="AR15" s="80">
        <f>IF(F15=0,0,IF(ISBLANK(D15),0,VELOCID(AL15,AJ15,AH15,AK15)))</f>
        <v>0.58205724003351944</v>
      </c>
      <c r="AS15" s="80">
        <f>IF(OR(ISBLANK($D15),O15=0),0,IF(O15&lt;Parametros!$F$46,Parametros!$F$46,O15))</f>
        <v>1.5</v>
      </c>
      <c r="AT15" s="80">
        <f>IF(F15=0,0,IF(ISBLANK(D15),0,LAMINAABS(AS15,AJ15,AH15,AK15)))</f>
        <v>3.0504163207447321E-2</v>
      </c>
      <c r="AU15" s="178">
        <f>IF(F15=0,0,IF(ISBLANK(D15),0,LAMINAREL(AS15,AJ15,AH15,AK15)))</f>
        <v>0.20336108804964881</v>
      </c>
      <c r="AV15" s="80">
        <f>IF(F15=0,0,IF(ISBLANK(D15),0,TENSTRAT(AS15,AJ15,AH15,AK15)))</f>
        <v>2.1296999804082946</v>
      </c>
      <c r="AW15" s="228" t="s">
        <v>112</v>
      </c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 t="s">
        <v>113</v>
      </c>
      <c r="AZ15" s="73" t="str">
        <f>IFERROR(INDEX($AX$15:$AX$10000,MATCH(BA15,$E$15:$E$10000,0)),AX15)</f>
        <v>CI-0.60</v>
      </c>
      <c r="BA15" s="228" t="s">
        <v>113</v>
      </c>
      <c r="BB15" s="149"/>
      <c r="BC15" s="109"/>
      <c r="BD15" s="109"/>
      <c r="BE15" s="109">
        <f>1000*((AK15*AL15/1000)/(0.284219*(AH15^(1/2))))^(3/8)</f>
        <v>63.094831363449785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2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36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32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32">
        <f>IFERROR(IF(W50="",0,(IF(AA50-Z50&gt;0,ROUNDUP(AA50-Z50,2),0))),0)</f>
        <v>0</v>
      </c>
      <c r="AC50" s="70">
        <f>RedBasica!R50</f>
        <v>0</v>
      </c>
      <c r="AD50" s="332">
        <f>ROUND(I50+AB50,2)</f>
        <v>0</v>
      </c>
      <c r="AE50" s="332"/>
      <c r="AF50" s="332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32" t="str">
        <f t="shared" ref="AG50" si="3">IF(AF50="-","-",IF(AF50-J50=0,"-",ROUND(AF50,2)))</f>
        <v>-</v>
      </c>
      <c r="AH50" s="347">
        <f>RedBasica!B50</f>
        <v>0</v>
      </c>
      <c r="AI50" s="347">
        <f>RedBasica!AI50</f>
        <v>0</v>
      </c>
      <c r="AJ50" s="347">
        <f>RedBasica!AJ50</f>
        <v>0</v>
      </c>
      <c r="AK50" s="347">
        <f>IF(OR(AH50=1,AI50&gt;AJ49),AI50,AJ49)</f>
        <v>0</v>
      </c>
      <c r="AL50" s="353"/>
    </row>
    <row r="51" spans="1:42" ht="15" x14ac:dyDescent="0.25">
      <c r="A51" s="191"/>
      <c r="B51"/>
      <c r="C51"/>
      <c r="D51" s="199"/>
      <c r="E51" s="191"/>
      <c r="F51" s="192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7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 t="str">
        <f>ImportQGIS!D90</f>
        <v>CN_7-005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7"/>
      <c r="H98"/>
      <c r="J98" s="191"/>
      <c r="K98" s="191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427" stopIfTrue="1" operator="equal">
      <formula>0</formula>
    </cfRule>
  </conditionalFormatting>
  <conditionalFormatting sqref="J40:K40">
    <cfRule type="cellIs" dxfId="66" priority="1417" stopIfTrue="1" operator="equal">
      <formula>0</formula>
    </cfRule>
  </conditionalFormatting>
  <conditionalFormatting sqref="D40">
    <cfRule type="cellIs" dxfId="65" priority="1416" stopIfTrue="1" operator="equal">
      <formula>0</formula>
    </cfRule>
  </conditionalFormatting>
  <conditionalFormatting sqref="E40">
    <cfRule type="cellIs" dxfId="64" priority="1415" stopIfTrue="1" operator="equal">
      <formula>0</formula>
    </cfRule>
  </conditionalFormatting>
  <conditionalFormatting sqref="F40">
    <cfRule type="cellIs" dxfId="63" priority="1414" stopIfTrue="1" operator="equal">
      <formula>0</formula>
    </cfRule>
  </conditionalFormatting>
  <conditionalFormatting sqref="G40">
    <cfRule type="cellIs" dxfId="62" priority="1413" stopIfTrue="1" operator="equal">
      <formula>0</formula>
    </cfRule>
  </conditionalFormatting>
  <conditionalFormatting sqref="L40">
    <cfRule type="cellIs" dxfId="61" priority="1412" stopIfTrue="1" operator="equal">
      <formula>0</formula>
    </cfRule>
  </conditionalFormatting>
  <conditionalFormatting sqref="M40">
    <cfRule type="cellIs" dxfId="60" priority="1411" stopIfTrue="1" operator="equal">
      <formula>0</formula>
    </cfRule>
  </conditionalFormatting>
  <conditionalFormatting sqref="K6:O6">
    <cfRule type="cellIs" dxfId="59" priority="1029" operator="equal">
      <formula>0</formula>
    </cfRule>
  </conditionalFormatting>
  <conditionalFormatting sqref="K2:O5">
    <cfRule type="cellIs" dxfId="58" priority="1030" operator="equal">
      <formula>0</formula>
    </cfRule>
  </conditionalFormatting>
  <conditionalFormatting sqref="C7:G9">
    <cfRule type="cellIs" dxfId="57" priority="1028" operator="equal">
      <formula>0</formula>
    </cfRule>
  </conditionalFormatting>
  <conditionalFormatting sqref="C10:G11">
    <cfRule type="cellIs" dxfId="56" priority="1027" operator="equal">
      <formula>0</formula>
    </cfRule>
  </conditionalFormatting>
  <conditionalFormatting sqref="C30:T30 AA30:AK30">
    <cfRule type="cellIs" dxfId="55" priority="1025" stopIfTrue="1" operator="equal">
      <formula>0</formula>
    </cfRule>
  </conditionalFormatting>
  <conditionalFormatting sqref="U30:V30">
    <cfRule type="cellIs" dxfId="54" priority="1024" stopIfTrue="1" operator="equal">
      <formula>0</formula>
    </cfRule>
  </conditionalFormatting>
  <conditionalFormatting sqref="Y30">
    <cfRule type="cellIs" dxfId="53" priority="1026" stopIfTrue="1" operator="greaterThan">
      <formula>150</formula>
    </cfRule>
  </conditionalFormatting>
  <conditionalFormatting sqref="K15:L15">
    <cfRule type="cellIs" dxfId="52" priority="61" stopIfTrue="1" operator="equal">
      <formula>0</formula>
    </cfRule>
  </conditionalFormatting>
  <conditionalFormatting sqref="AO15">
    <cfRule type="cellIs" dxfId="51" priority="57" stopIfTrue="1" operator="equal">
      <formula>1</formula>
    </cfRule>
  </conditionalFormatting>
  <conditionalFormatting sqref="E15">
    <cfRule type="expression" dxfId="50" priority="52" stopIfTrue="1">
      <formula>B15=1</formula>
    </cfRule>
  </conditionalFormatting>
  <conditionalFormatting sqref="AH15">
    <cfRule type="expression" dxfId="49" priority="50" stopIfTrue="1">
      <formula>ROUND(AH15,5)&lt;ROUND(AF15,5)</formula>
    </cfRule>
  </conditionalFormatting>
  <conditionalFormatting sqref="AR15">
    <cfRule type="cellIs" dxfId="48" priority="49" stopIfTrue="1" operator="greaterThan">
      <formula>AQ15</formula>
    </cfRule>
    <cfRule type="cellIs" dxfId="47" priority="56" stopIfTrue="1" operator="equal">
      <formula>0</formula>
    </cfRule>
  </conditionalFormatting>
  <conditionalFormatting sqref="AQ15">
    <cfRule type="cellIs" dxfId="46" priority="47" stopIfTrue="1" operator="equal">
      <formula>0</formula>
    </cfRule>
    <cfRule type="cellIs" dxfId="45" priority="59" stopIfTrue="1" operator="equal">
      <formula>0</formula>
    </cfRule>
  </conditionalFormatting>
  <conditionalFormatting sqref="AW15">
    <cfRule type="cellIs" dxfId="44" priority="46" stopIfTrue="1" operator="equal">
      <formula>0</formula>
    </cfRule>
  </conditionalFormatting>
  <conditionalFormatting sqref="BA15">
    <cfRule type="cellIs" dxfId="43" priority="45" stopIfTrue="1" operator="equal">
      <formula>0</formula>
    </cfRule>
  </conditionalFormatting>
  <conditionalFormatting sqref="AL15">
    <cfRule type="cellIs" dxfId="42" priority="63" stopIfTrue="1" operator="equal">
      <formula>0</formula>
    </cfRule>
  </conditionalFormatting>
  <conditionalFormatting sqref="AK15">
    <cfRule type="cellIs" dxfId="41" priority="60" stopIfTrue="1" operator="equal">
      <formula>0</formula>
    </cfRule>
  </conditionalFormatting>
  <conditionalFormatting sqref="AO15">
    <cfRule type="cellIs" dxfId="40" priority="55" stopIfTrue="1" operator="equal">
      <formula>1</formula>
    </cfRule>
  </conditionalFormatting>
  <conditionalFormatting sqref="AS15">
    <cfRule type="cellIs" dxfId="39" priority="53" stopIfTrue="1" operator="equal">
      <formula>0</formula>
    </cfRule>
    <cfRule type="cellIs" dxfId="38" priority="58" stopIfTrue="1" operator="equal">
      <formula>0</formula>
    </cfRule>
  </conditionalFormatting>
  <conditionalFormatting sqref="AF15">
    <cfRule type="expression" dxfId="37" priority="41" stopIfTrue="1">
      <formula>F15=0</formula>
    </cfRule>
    <cfRule type="cellIs" dxfId="36" priority="42" stopIfTrue="1" operator="notEqual">
      <formula>AG15</formula>
    </cfRule>
  </conditionalFormatting>
  <conditionalFormatting sqref="AN15">
    <cfRule type="cellIs" dxfId="35" priority="54" stopIfTrue="1" operator="equal">
      <formula>0</formula>
    </cfRule>
  </conditionalFormatting>
  <conditionalFormatting sqref="AM15">
    <cfRule type="cellIs" dxfId="34" priority="38" stopIfTrue="1" operator="equal">
      <formula>0</formula>
    </cfRule>
  </conditionalFormatting>
  <conditionalFormatting sqref="AP15">
    <cfRule type="cellIs" dxfId="33" priority="62" stopIfTrue="1" operator="equal">
      <formula>0</formula>
    </cfRule>
  </conditionalFormatting>
  <conditionalFormatting sqref="AT15">
    <cfRule type="cellIs" dxfId="32" priority="37" stopIfTrue="1" operator="equal">
      <formula>0</formula>
    </cfRule>
  </conditionalFormatting>
  <conditionalFormatting sqref="AU15">
    <cfRule type="cellIs" dxfId="31" priority="36" stopIfTrue="1" operator="equal">
      <formula>0</formula>
    </cfRule>
  </conditionalFormatting>
  <conditionalFormatting sqref="AV15">
    <cfRule type="cellIs" dxfId="30" priority="40" stopIfTrue="1" operator="equal">
      <formula>0</formula>
    </cfRule>
  </conditionalFormatting>
  <conditionalFormatting sqref="P15:Q15">
    <cfRule type="cellIs" dxfId="29" priority="34" stopIfTrue="1" operator="equal">
      <formula>0</formula>
    </cfRule>
  </conditionalFormatting>
  <conditionalFormatting sqref="R15">
    <cfRule type="cellIs" dxfId="28" priority="32" operator="equal">
      <formula>0</formula>
    </cfRule>
    <cfRule type="cellIs" dxfId="27" priority="33" operator="notEqual">
      <formula>0</formula>
    </cfRule>
  </conditionalFormatting>
  <conditionalFormatting sqref="V15">
    <cfRule type="expression" dxfId="26" priority="26" stopIfTrue="1">
      <formula>B15=1</formula>
    </cfRule>
  </conditionalFormatting>
  <conditionalFormatting sqref="U15">
    <cfRule type="expression" dxfId="25" priority="30" stopIfTrue="1">
      <formula>E15=1</formula>
    </cfRule>
  </conditionalFormatting>
  <conditionalFormatting sqref="W15">
    <cfRule type="cellIs" dxfId="24" priority="28" operator="greaterThanOrEqual">
      <formula>3</formula>
    </cfRule>
    <cfRule type="cellIs" dxfId="23" priority="29" operator="greaterThanOrEqual">
      <formula>2</formula>
    </cfRule>
  </conditionalFormatting>
  <conditionalFormatting sqref="V15">
    <cfRule type="cellIs" dxfId="22" priority="27" operator="greaterThanOrEqual">
      <formula>3</formula>
    </cfRule>
    <cfRule type="cellIs" dxfId="21" priority="31" operator="greaterThanOrEqual">
      <formula>2</formula>
    </cfRule>
  </conditionalFormatting>
  <conditionalFormatting sqref="T15">
    <cfRule type="expression" dxfId="20" priority="25" stopIfTrue="1">
      <formula>B15=1</formula>
    </cfRule>
  </conditionalFormatting>
  <conditionalFormatting sqref="M15">
    <cfRule type="expression" dxfId="19" priority="51" stopIfTrue="1">
      <formula>#REF!&gt;0</formula>
    </cfRule>
  </conditionalFormatting>
  <conditionalFormatting sqref="X15">
    <cfRule type="cellIs" dxfId="18" priority="23" operator="equal">
      <formula>0</formula>
    </cfRule>
    <cfRule type="cellIs" dxfId="17" priority="24" operator="notEqual">
      <formula>0</formula>
    </cfRule>
  </conditionalFormatting>
  <conditionalFormatting sqref="AJ15">
    <cfRule type="expression" dxfId="16" priority="21">
      <formula>BE15=1</formula>
    </cfRule>
    <cfRule type="cellIs" dxfId="15" priority="22" stopIfTrue="1" operator="notEqual">
      <formula>AI15</formula>
    </cfRule>
  </conditionalFormatting>
  <conditionalFormatting sqref="L50:M50 AC50">
    <cfRule type="cellIs" dxfId="14" priority="8" stopIfTrue="1" operator="equal">
      <formula>0</formula>
    </cfRule>
  </conditionalFormatting>
  <conditionalFormatting sqref="U50 O50:S50">
    <cfRule type="cellIs" dxfId="13" priority="7" stopIfTrue="1" operator="equal">
      <formula>0</formula>
    </cfRule>
  </conditionalFormatting>
  <conditionalFormatting sqref="F50:G50">
    <cfRule type="cellIs" dxfId="12" priority="10" stopIfTrue="1" operator="equal">
      <formula>0</formula>
    </cfRule>
  </conditionalFormatting>
  <conditionalFormatting sqref="I50:J50">
    <cfRule type="cellIs" dxfId="11" priority="9" stopIfTrue="1" operator="equal">
      <formula>0</formula>
    </cfRule>
  </conditionalFormatting>
  <conditionalFormatting sqref="W50:Y50">
    <cfRule type="cellIs" dxfId="10" priority="6" stopIfTrue="1" operator="equal">
      <formula>0</formula>
    </cfRule>
  </conditionalFormatting>
  <conditionalFormatting sqref="AA50">
    <cfRule type="cellIs" dxfId="9" priority="4" stopIfTrue="1" operator="equal">
      <formula>0</formula>
    </cfRule>
  </conditionalFormatting>
  <conditionalFormatting sqref="Z50">
    <cfRule type="cellIs" dxfId="8" priority="5" stopIfTrue="1" operator="equal">
      <formula>0</formula>
    </cfRule>
  </conditionalFormatting>
  <conditionalFormatting sqref="T50">
    <cfRule type="cellIs" dxfId="7" priority="3" stopIfTrue="1" operator="equal">
      <formula>0</formula>
    </cfRule>
  </conditionalFormatting>
  <conditionalFormatting sqref="H50">
    <cfRule type="cellIs" dxfId="6" priority="2" stopIfTrue="1" operator="equal">
      <formula>0</formula>
    </cfRule>
  </conditionalFormatting>
  <conditionalFormatting sqref="N50">
    <cfRule type="cellIs" dxfId="5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13</vt:i4>
      </vt:variant>
    </vt:vector>
  </HeadingPairs>
  <TitlesOfParts>
    <vt:vector size="28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Parametros!Area_de_impressao</vt:lpstr>
      <vt:lpstr>DN_lista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2019-03-26T15:13:07Z</dcterms:modified>
</cp:coreProperties>
</file>